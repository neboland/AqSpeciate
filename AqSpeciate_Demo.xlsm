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landne\Dropbox\Whitman\Research\Projects\2026 Lleida Collaboration\"/>
    </mc:Choice>
  </mc:AlternateContent>
  <xr:revisionPtr revIDLastSave="0" documentId="13_ncr:1_{6FA7D5F0-E90B-475B-B895-17BF1E332CA2}" xr6:coauthVersionLast="47" xr6:coauthVersionMax="47" xr10:uidLastSave="{00000000-0000-0000-0000-000000000000}"/>
  <bookViews>
    <workbookView xWindow="3345" yWindow="2175" windowWidth="21570" windowHeight="12810" xr2:uid="{6628145A-95F9-496A-AAAF-84512AC725A7}"/>
  </bookViews>
  <sheets>
    <sheet name="Demo" sheetId="2" r:id="rId1"/>
    <sheet name="SpecInputs" sheetId="1" r:id="rId2"/>
  </sheets>
  <functionGroups builtInGroupCount="19"/>
  <externalReferences>
    <externalReference r:id="rId3"/>
    <externalReference r:id="rId4"/>
  </externalReferences>
  <definedNames>
    <definedName name="AW_NINTAOX_Comp">SpecInputs!$AG$4:$AJ$7</definedName>
    <definedName name="AW_NINTAOX_Spec">SpecInputs!$AG$11:$AL$27</definedName>
    <definedName name="CDTA_Comp">SpecInputs!$A$69:$D$70</definedName>
    <definedName name="CDTA_Spec">SpecInputs!$A$74:$D$78</definedName>
    <definedName name="NiEDDA_Comp">SpecInputs!$Y$36:$AB$38</definedName>
    <definedName name="NiEDDA_Spec">SpecInputs!$Y$42:$AC$52</definedName>
    <definedName name="NiEDDAEN_Comp">SpecInputs!$A$36:$D$39</definedName>
    <definedName name="NiEDDAEN_Spec">SpecInputs!$A$43:$F$59</definedName>
    <definedName name="NiEDDAGLY_Comp">SpecInputs!$I$36:$L$39</definedName>
    <definedName name="NiEDDAGLY_Spec">SpecInputs!$I$43:$N$59</definedName>
    <definedName name="NiEDDAOX_Comp">SpecInputs!$Q$36:$T$39</definedName>
    <definedName name="NiEDDAOX_Spec">SpecInputs!$Q$43:$V$58</definedName>
    <definedName name="NiNTA_Comp">SpecInputs!$Y$4:$AB$6</definedName>
    <definedName name="NiNTA_Solids">SpecInputs!$A$31:$F$31</definedName>
    <definedName name="NiNTA_Spec">SpecInputs!$Y$10:$AC$21</definedName>
    <definedName name="NiNTAEN_Comp">SpecInputs!$A$4:$D$7</definedName>
    <definedName name="NiNTAEN_Solids">SpecInputs!$A$31:$F$31</definedName>
    <definedName name="NiNTAEN_Spec">SpecInputs!$A$11:$F$28</definedName>
    <definedName name="NiNTAGLY_Comp">SpecInputs!$I$4:$L$7</definedName>
    <definedName name="NiNTAGLY_Spec">SpecInputs!$I$11:$N$28</definedName>
    <definedName name="NiNTALw_Solids">SpecInputs!$A$31:$F$31</definedName>
    <definedName name="NiNTAonly_Solids">SpecInputs!$Y$24:$AC$24</definedName>
    <definedName name="NiNTAOX_Comp">SpecInputs!$Q$4:$T$7</definedName>
    <definedName name="NiNTAOX_Spec">SpecInputs!$Q$11:$V$27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49" i="1" l="1"/>
  <c r="J49" i="1"/>
  <c r="B78" i="1"/>
  <c r="B77" i="1"/>
  <c r="B76" i="1"/>
  <c r="B75" i="1"/>
  <c r="B74" i="1"/>
  <c r="J62" i="1"/>
  <c r="B62" i="1"/>
  <c r="R61" i="1"/>
  <c r="J59" i="1"/>
  <c r="B59" i="1"/>
  <c r="R58" i="1"/>
  <c r="J58" i="1"/>
  <c r="B58" i="1"/>
  <c r="R57" i="1"/>
  <c r="J57" i="1"/>
  <c r="B57" i="1"/>
  <c r="R56" i="1"/>
  <c r="J56" i="1"/>
  <c r="B56" i="1"/>
  <c r="Z55" i="1"/>
  <c r="R55" i="1"/>
  <c r="J55" i="1"/>
  <c r="B55" i="1"/>
  <c r="R54" i="1"/>
  <c r="J54" i="1"/>
  <c r="B54" i="1"/>
  <c r="R53" i="1"/>
  <c r="J53" i="1"/>
  <c r="B53" i="1"/>
  <c r="Z52" i="1"/>
  <c r="R52" i="1"/>
  <c r="J52" i="1"/>
  <c r="B52" i="1"/>
  <c r="Z51" i="1"/>
  <c r="R51" i="1"/>
  <c r="J51" i="1"/>
  <c r="B51" i="1"/>
  <c r="Z50" i="1"/>
  <c r="R50" i="1"/>
  <c r="J50" i="1"/>
  <c r="B50" i="1"/>
  <c r="Z49" i="1"/>
  <c r="R49" i="1"/>
  <c r="Z48" i="1"/>
  <c r="R48" i="1"/>
  <c r="J48" i="1"/>
  <c r="B48" i="1"/>
  <c r="Z47" i="1"/>
  <c r="R47" i="1"/>
  <c r="J47" i="1"/>
  <c r="B47" i="1"/>
  <c r="Z46" i="1"/>
  <c r="R46" i="1"/>
  <c r="J46" i="1"/>
  <c r="B46" i="1"/>
  <c r="Z45" i="1"/>
  <c r="R45" i="1"/>
  <c r="J45" i="1"/>
  <c r="B45" i="1"/>
  <c r="Z44" i="1"/>
  <c r="R44" i="1"/>
  <c r="J44" i="1"/>
  <c r="B44" i="1"/>
  <c r="Z43" i="1"/>
  <c r="R43" i="1"/>
  <c r="J43" i="1"/>
  <c r="B43" i="1"/>
  <c r="Z42" i="1"/>
  <c r="J31" i="1"/>
  <c r="B31" i="1"/>
  <c r="AH30" i="1"/>
  <c r="R30" i="1"/>
  <c r="J28" i="1"/>
  <c r="B28" i="1"/>
  <c r="AH27" i="1"/>
  <c r="R27" i="1"/>
  <c r="J27" i="1"/>
  <c r="B27" i="1"/>
  <c r="AH26" i="1"/>
  <c r="R26" i="1"/>
  <c r="J26" i="1"/>
  <c r="B26" i="1"/>
  <c r="AH25" i="1"/>
  <c r="R25" i="1"/>
  <c r="J25" i="1"/>
  <c r="B25" i="1"/>
  <c r="AH24" i="1"/>
  <c r="Z24" i="1"/>
  <c r="R24" i="1"/>
  <c r="J24" i="1"/>
  <c r="B24" i="1"/>
  <c r="AH23" i="1"/>
  <c r="R23" i="1"/>
  <c r="J23" i="1"/>
  <c r="B23" i="1"/>
  <c r="AH22" i="1"/>
  <c r="R22" i="1"/>
  <c r="J22" i="1"/>
  <c r="B22" i="1"/>
  <c r="AH21" i="1"/>
  <c r="Z21" i="1"/>
  <c r="R21" i="1"/>
  <c r="J21" i="1"/>
  <c r="B21" i="1"/>
  <c r="AH20" i="1"/>
  <c r="Z20" i="1"/>
  <c r="R20" i="1"/>
  <c r="J20" i="1"/>
  <c r="B20" i="1"/>
  <c r="AH19" i="1"/>
  <c r="Z19" i="1"/>
  <c r="R19" i="1"/>
  <c r="J19" i="1"/>
  <c r="B19" i="1"/>
  <c r="AH18" i="1"/>
  <c r="Z18" i="1"/>
  <c r="R18" i="1"/>
  <c r="J18" i="1"/>
  <c r="B18" i="1"/>
  <c r="AH17" i="1"/>
  <c r="Z17" i="1"/>
  <c r="R17" i="1"/>
  <c r="J17" i="1"/>
  <c r="B17" i="1"/>
  <c r="AH16" i="1"/>
  <c r="Z16" i="1"/>
  <c r="R16" i="1"/>
  <c r="J16" i="1"/>
  <c r="B16" i="1"/>
  <c r="AH15" i="1"/>
  <c r="Z15" i="1"/>
  <c r="R15" i="1"/>
  <c r="J15" i="1"/>
  <c r="B15" i="1"/>
  <c r="AH14" i="1"/>
  <c r="Z14" i="1"/>
  <c r="R14" i="1"/>
  <c r="J14" i="1"/>
  <c r="B14" i="1"/>
  <c r="AH13" i="1"/>
  <c r="Z13" i="1"/>
  <c r="R13" i="1"/>
  <c r="J13" i="1"/>
  <c r="B13" i="1"/>
  <c r="AH12" i="1"/>
  <c r="Z12" i="1"/>
  <c r="R12" i="1"/>
  <c r="J12" i="1"/>
  <c r="B12" i="1"/>
  <c r="AH11" i="1"/>
  <c r="Z11" i="1"/>
  <c r="R11" i="1"/>
  <c r="J11" i="1"/>
  <c r="B11" i="1"/>
  <c r="Z10" i="1"/>
  <c r="C42" i="2" a="1"/>
  <c r="C48" i="2" a="1"/>
  <c r="C49" i="2" a="1"/>
  <c r="C44" i="2" a="1"/>
  <c r="C43" i="2" a="1"/>
  <c r="C50" i="2" a="1"/>
  <c r="C45" i="2" a="1"/>
  <c r="C46" i="2" a="1"/>
  <c r="C47" i="2" a="1"/>
  <c r="C41" i="2" a="1"/>
  <c r="G24" i="2" a="1"/>
  <c r="G27" i="2" a="1"/>
  <c r="H27" i="2" a="1"/>
  <c r="G25" i="2" a="1"/>
  <c r="H24" i="2" a="1"/>
  <c r="G28" i="2" a="1"/>
  <c r="H25" i="2" a="1"/>
  <c r="H28" i="2" a="1"/>
  <c r="G26" i="2" a="1"/>
  <c r="H26" i="2" a="1"/>
  <c r="H23" i="2" a="1"/>
  <c r="G23" i="2" a="1"/>
  <c r="C24" i="2" a="1"/>
  <c r="C27" i="2" a="1"/>
  <c r="C30" i="2" a="1"/>
  <c r="C33" i="2" a="1"/>
  <c r="D30" i="2" a="1"/>
  <c r="D27" i="2" a="1"/>
  <c r="D24" i="2" a="1"/>
  <c r="D33" i="2" a="1"/>
  <c r="D29" i="2" a="1"/>
  <c r="C28" i="2" a="1"/>
  <c r="D31" i="2" a="1"/>
  <c r="C29" i="2" a="1"/>
  <c r="D32" i="2" a="1"/>
  <c r="C25" i="2" a="1"/>
  <c r="C31" i="2" a="1"/>
  <c r="D25" i="2" a="1"/>
  <c r="D28" i="2" a="1"/>
  <c r="C26" i="2" a="1"/>
  <c r="C32" i="2" a="1"/>
  <c r="D26" i="2" a="1"/>
  <c r="D23" i="2" a="1"/>
  <c r="C23" i="2" a="1"/>
  <c r="C15" i="2" a="1"/>
  <c r="B15" i="2" a="1"/>
  <c r="C6" i="2" a="1"/>
  <c r="C7" i="2" a="1"/>
  <c r="I75" i="1" a="1"/>
  <c r="I114" i="1" a="1"/>
  <c r="L138" i="1" a="1"/>
  <c r="J133" i="1" a="1"/>
  <c r="L114" i="1" a="1"/>
  <c r="L133" i="1" a="1"/>
  <c r="K126" i="1" a="1"/>
  <c r="J106" i="1" a="1"/>
  <c r="J116" i="1" a="1"/>
  <c r="I118" i="1" a="1"/>
  <c r="L101" i="1" a="1"/>
  <c r="L117" i="1" a="1"/>
  <c r="L140" i="1" a="1"/>
  <c r="K86" i="1" a="1"/>
  <c r="K106" i="1" a="1"/>
  <c r="I76" i="1" a="1"/>
  <c r="L100" i="1" a="1"/>
  <c r="L93" i="1" a="1"/>
  <c r="K127" i="1" a="1"/>
  <c r="I80" i="1" a="1"/>
  <c r="K124" i="1" a="1"/>
  <c r="I99" i="1" a="1"/>
  <c r="I86" i="1" a="1"/>
  <c r="J122" i="1" a="1"/>
  <c r="I103" i="1" a="1"/>
  <c r="J83" i="1" a="1"/>
  <c r="I115" i="1" a="1"/>
  <c r="K116" i="1" a="1"/>
  <c r="K82" i="1" a="1"/>
  <c r="L128" i="1" a="1"/>
  <c r="J88" i="1" a="1"/>
  <c r="K104" i="1" a="1"/>
  <c r="I102" i="1" a="1"/>
  <c r="K93" i="1" a="1"/>
  <c r="L126" i="1" a="1"/>
  <c r="L78" i="1" a="1"/>
  <c r="K76" i="1" a="1"/>
  <c r="K113" i="1" a="1"/>
  <c r="K100" i="1" a="1"/>
  <c r="I89" i="1" a="1"/>
  <c r="K98" i="1" a="1"/>
  <c r="K137" i="1" a="1"/>
  <c r="J109" i="1" a="1"/>
  <c r="I90" i="1" a="1"/>
  <c r="L80" i="1" a="1"/>
  <c r="L135" i="1" a="1"/>
  <c r="J111" i="1" a="1"/>
  <c r="K133" i="1" a="1"/>
  <c r="I120" i="1" a="1"/>
  <c r="I134" i="1" a="1"/>
  <c r="J105" i="1" a="1"/>
  <c r="K92" i="1" a="1"/>
  <c r="L110" i="1" a="1"/>
  <c r="L89" i="1" a="1"/>
  <c r="L131" i="1" a="1"/>
  <c r="L97" i="1" a="1"/>
  <c r="L123" i="1" a="1"/>
  <c r="J78" i="1" a="1"/>
  <c r="K131" i="1" a="1"/>
  <c r="J98" i="1" a="1"/>
  <c r="L84" i="1" a="1"/>
  <c r="K89" i="1" a="1"/>
  <c r="J129" i="1" a="1"/>
  <c r="I85" i="1" a="1"/>
  <c r="L116" i="1" a="1"/>
  <c r="L103" i="1" a="1"/>
  <c r="J128" i="1" a="1"/>
  <c r="K132" i="1" a="1"/>
  <c r="I97" i="1" a="1"/>
  <c r="J118" i="1" a="1"/>
  <c r="I84" i="1" a="1"/>
  <c r="K88" i="1" a="1"/>
  <c r="K121" i="1" a="1"/>
  <c r="I88" i="1" a="1"/>
  <c r="K115" i="1" a="1"/>
  <c r="L81" i="1" a="1"/>
  <c r="L130" i="1" a="1"/>
  <c r="J138" i="1" a="1"/>
  <c r="I94" i="1" a="1"/>
  <c r="I108" i="1" a="1"/>
  <c r="I98" i="1" a="1"/>
  <c r="I125" i="1" a="1"/>
  <c r="K134" i="1" a="1"/>
  <c r="J120" i="1" a="1"/>
  <c r="J80" i="1" a="1"/>
  <c r="K90" i="1" a="1"/>
  <c r="J114" i="1" a="1"/>
  <c r="J77" i="1" a="1"/>
  <c r="K114" i="1" a="1"/>
  <c r="J125" i="1" a="1"/>
  <c r="J102" i="1" a="1"/>
  <c r="K81" i="1" a="1"/>
  <c r="J90" i="1" a="1"/>
  <c r="K87" i="1" a="1"/>
  <c r="K99" i="1" a="1"/>
  <c r="J107" i="1" a="1"/>
  <c r="K138" i="1" a="1"/>
  <c r="J84" i="1" a="1"/>
  <c r="J134" i="1" a="1"/>
  <c r="I83" i="1" a="1"/>
  <c r="L132" i="1" a="1"/>
  <c r="I135" i="1" a="1"/>
  <c r="J126" i="1" a="1"/>
  <c r="I81" i="1" a="1"/>
  <c r="J132" i="1" a="1"/>
  <c r="J121" i="1" a="1"/>
  <c r="I117" i="1" a="1"/>
  <c r="L90" i="1" a="1"/>
  <c r="I128" i="1" a="1"/>
  <c r="L120" i="1" a="1"/>
  <c r="L122" i="1" a="1"/>
  <c r="I123" i="1" a="1"/>
  <c r="I129" i="1" a="1"/>
  <c r="I82" i="1" a="1"/>
  <c r="L106" i="1" a="1"/>
  <c r="J93" i="1" a="1"/>
  <c r="K111" i="1" a="1"/>
  <c r="I138" i="1" a="1"/>
  <c r="K112" i="1" a="1"/>
  <c r="J85" i="1" a="1"/>
  <c r="K108" i="1" a="1"/>
  <c r="K130" i="1" a="1"/>
  <c r="I131" i="1" a="1"/>
  <c r="L127" i="1" a="1"/>
  <c r="I112" i="1" a="1"/>
  <c r="K123" i="1" a="1"/>
  <c r="I105" i="1" a="1"/>
  <c r="I130" i="1" a="1"/>
  <c r="K120" i="1" a="1"/>
  <c r="L134" i="1" a="1"/>
  <c r="K85" i="1" a="1"/>
  <c r="K136" i="1" a="1"/>
  <c r="I137" i="1" a="1"/>
  <c r="K91" i="1" a="1"/>
  <c r="L88" i="1" a="1"/>
  <c r="J101" i="1" a="1"/>
  <c r="I133" i="1" a="1"/>
  <c r="L113" i="1" a="1"/>
  <c r="I101" i="1" a="1"/>
  <c r="K118" i="1" a="1"/>
  <c r="J104" i="1" a="1"/>
  <c r="K105" i="1" a="1"/>
  <c r="I127" i="1" a="1"/>
  <c r="K75" i="1" a="1"/>
  <c r="K119" i="1" a="1"/>
  <c r="J96" i="1" a="1"/>
  <c r="L86" i="1" a="1"/>
  <c r="L124" i="1" a="1"/>
  <c r="I122" i="1" a="1"/>
  <c r="I113" i="1" a="1"/>
  <c r="I95" i="1" a="1"/>
  <c r="I100" i="1" a="1"/>
  <c r="J82" i="1" a="1"/>
  <c r="J110" i="1" a="1"/>
  <c r="L111" i="1" a="1"/>
  <c r="L125" i="1" a="1"/>
  <c r="K78" i="1" a="1"/>
  <c r="J95" i="1" a="1"/>
  <c r="L107" i="1" a="1"/>
  <c r="I110" i="1" a="1"/>
  <c r="J113" i="1" a="1"/>
  <c r="K135" i="1" a="1"/>
  <c r="I92" i="1" a="1"/>
  <c r="J124" i="1" a="1"/>
  <c r="I124" i="1" a="1"/>
  <c r="L136" i="1" a="1"/>
  <c r="I132" i="1" a="1"/>
  <c r="L118" i="1" a="1"/>
  <c r="J112" i="1" a="1"/>
  <c r="K80" i="1" a="1"/>
  <c r="L85" i="1" a="1"/>
  <c r="J137" i="1" a="1"/>
  <c r="I96" i="1" a="1"/>
  <c r="I107" i="1" a="1"/>
  <c r="I126" i="1" a="1"/>
  <c r="J127" i="1" a="1"/>
  <c r="L77" i="1" a="1"/>
  <c r="K103" i="1" a="1"/>
  <c r="K95" i="1" a="1"/>
  <c r="J140" i="1" a="1"/>
  <c r="I104" i="1" a="1"/>
  <c r="K139" i="1" a="1"/>
  <c r="K110" i="1" a="1"/>
  <c r="I111" i="1" a="1"/>
  <c r="J97" i="1" a="1"/>
  <c r="I79" i="1" a="1"/>
  <c r="K122" i="1" a="1"/>
  <c r="L139" i="1" a="1"/>
  <c r="K102" i="1" a="1"/>
  <c r="J86" i="1" a="1"/>
  <c r="K83" i="1" a="1"/>
  <c r="K128" i="1" a="1"/>
  <c r="K79" i="1" a="1"/>
  <c r="I78" i="1" a="1"/>
  <c r="J81" i="1" a="1"/>
  <c r="I93" i="1" a="1"/>
  <c r="L109" i="1" a="1"/>
  <c r="I140" i="1" a="1"/>
  <c r="I136" i="1" a="1"/>
  <c r="L91" i="1" a="1"/>
  <c r="K109" i="1" a="1"/>
  <c r="L76" i="1" a="1"/>
  <c r="L121" i="1" a="1"/>
  <c r="J131" i="1" a="1"/>
  <c r="I119" i="1" a="1"/>
  <c r="K140" i="1" a="1"/>
  <c r="I116" i="1" a="1"/>
  <c r="L87" i="1" a="1"/>
  <c r="I77" i="1" a="1"/>
  <c r="L96" i="1" a="1"/>
  <c r="J119" i="1" a="1"/>
  <c r="L102" i="1" a="1"/>
  <c r="J94" i="1" a="1"/>
  <c r="J103" i="1" a="1"/>
  <c r="J123" i="1" a="1"/>
  <c r="J100" i="1" a="1"/>
  <c r="L105" i="1" a="1"/>
  <c r="I106" i="1" a="1"/>
  <c r="L98" i="1" a="1"/>
  <c r="L115" i="1" a="1"/>
  <c r="K125" i="1" a="1"/>
  <c r="L94" i="1" a="1"/>
  <c r="K97" i="1" a="1"/>
  <c r="K107" i="1" a="1"/>
  <c r="K77" i="1" a="1"/>
  <c r="J135" i="1" a="1"/>
  <c r="J76" i="1" a="1"/>
  <c r="K101" i="1" a="1"/>
  <c r="J136" i="1" a="1"/>
  <c r="K117" i="1" a="1"/>
  <c r="J91" i="1" a="1"/>
  <c r="L129" i="1" a="1"/>
  <c r="J139" i="1" a="1"/>
  <c r="J92" i="1" a="1"/>
  <c r="L99" i="1" a="1"/>
  <c r="J115" i="1" a="1"/>
  <c r="I87" i="1" a="1"/>
  <c r="L82" i="1" a="1"/>
  <c r="J87" i="1" a="1"/>
  <c r="J99" i="1" a="1"/>
  <c r="K84" i="1" a="1"/>
  <c r="J89" i="1" a="1"/>
  <c r="K94" i="1" a="1"/>
  <c r="L104" i="1" a="1"/>
  <c r="K96" i="1" a="1"/>
  <c r="I109" i="1" a="1"/>
  <c r="J75" i="1" a="1"/>
  <c r="L92" i="1" a="1"/>
  <c r="K129" i="1" a="1"/>
  <c r="L75" i="1" a="1"/>
  <c r="J117" i="1" a="1"/>
  <c r="J130" i="1" a="1"/>
  <c r="L137" i="1" a="1"/>
  <c r="I139" i="1" a="1"/>
  <c r="J108" i="1" a="1"/>
  <c r="L95" i="1" a="1"/>
  <c r="L119" i="1" a="1"/>
  <c r="I91" i="1" a="1"/>
  <c r="I121" i="1" a="1"/>
  <c r="L112" i="1" a="1"/>
  <c r="L83" i="1" a="1"/>
  <c r="J79" i="1" a="1"/>
  <c r="L108" i="1" a="1"/>
  <c r="L79" i="1" a="1"/>
  <c r="C47" i="2" l="1"/>
  <c r="C46" i="2"/>
  <c r="C45" i="2"/>
  <c r="C50" i="2"/>
  <c r="C43" i="2"/>
  <c r="C44" i="2"/>
  <c r="C49" i="2"/>
  <c r="C48" i="2"/>
  <c r="C42" i="2"/>
  <c r="C41" i="2"/>
  <c r="H26" i="2"/>
  <c r="G26" i="2"/>
  <c r="H28" i="2"/>
  <c r="H25" i="2"/>
  <c r="G28" i="2"/>
  <c r="H24" i="2"/>
  <c r="G25" i="2"/>
  <c r="H27" i="2"/>
  <c r="G27" i="2"/>
  <c r="G24" i="2"/>
  <c r="H23" i="2"/>
  <c r="G23" i="2"/>
  <c r="D26" i="2"/>
  <c r="C32" i="2"/>
  <c r="C26" i="2"/>
  <c r="D28" i="2"/>
  <c r="D25" i="2"/>
  <c r="C31" i="2"/>
  <c r="C25" i="2"/>
  <c r="D32" i="2"/>
  <c r="C29" i="2"/>
  <c r="D31" i="2"/>
  <c r="C28" i="2"/>
  <c r="D29" i="2"/>
  <c r="D33" i="2"/>
  <c r="D24" i="2"/>
  <c r="D27" i="2"/>
  <c r="D30" i="2"/>
  <c r="C33" i="2"/>
  <c r="C30" i="2"/>
  <c r="C27" i="2"/>
  <c r="C24" i="2"/>
  <c r="D23" i="2"/>
  <c r="C23" i="2"/>
  <c r="C15" i="2"/>
  <c r="B15" i="2"/>
  <c r="C6" i="2"/>
  <c r="C7" i="2"/>
  <c r="J126" i="1"/>
  <c r="I92" i="1"/>
  <c r="J121" i="1"/>
  <c r="K94" i="1"/>
  <c r="K96" i="1"/>
  <c r="K85" i="1"/>
  <c r="I99" i="1"/>
  <c r="I129" i="1"/>
  <c r="L76" i="1"/>
  <c r="K87" i="1"/>
  <c r="L115" i="1"/>
  <c r="L133" i="1"/>
  <c r="K78" i="1"/>
  <c r="K105" i="1"/>
  <c r="I81" i="1"/>
  <c r="J108" i="1"/>
  <c r="I83" i="1"/>
  <c r="I75" i="1"/>
  <c r="I111" i="1"/>
  <c r="L113" i="1"/>
  <c r="I101" i="1"/>
  <c r="I90" i="1"/>
  <c r="K103" i="1"/>
  <c r="K118" i="1"/>
  <c r="J136" i="1"/>
  <c r="L83" i="1"/>
  <c r="J88" i="1"/>
  <c r="L92" i="1"/>
  <c r="L101" i="1"/>
  <c r="I77" i="1"/>
  <c r="L116" i="1"/>
  <c r="K75" i="1"/>
  <c r="K79" i="1"/>
  <c r="K81" i="1"/>
  <c r="I84" i="1"/>
  <c r="I86" i="1"/>
  <c r="K88" i="1"/>
  <c r="K90" i="1"/>
  <c r="I93" i="1"/>
  <c r="I95" i="1"/>
  <c r="K97" i="1"/>
  <c r="K99" i="1"/>
  <c r="I102" i="1"/>
  <c r="I104" i="1"/>
  <c r="K106" i="1"/>
  <c r="J109" i="1"/>
  <c r="L121" i="1"/>
  <c r="K124" i="1"/>
  <c r="J127" i="1"/>
  <c r="L134" i="1"/>
  <c r="I139" i="1"/>
  <c r="E139" i="1" s="1"/>
  <c r="L131" i="1"/>
  <c r="J79" i="1"/>
  <c r="L94" i="1"/>
  <c r="J97" i="1"/>
  <c r="L103" i="1"/>
  <c r="J106" i="1"/>
  <c r="L118" i="1"/>
  <c r="K121" i="1"/>
  <c r="J124" i="1"/>
  <c r="J111" i="1"/>
  <c r="J129" i="1"/>
  <c r="L77" i="1"/>
  <c r="J114" i="1"/>
  <c r="I117" i="1"/>
  <c r="L119" i="1"/>
  <c r="J132" i="1"/>
  <c r="L75" i="1"/>
  <c r="J84" i="1"/>
  <c r="L88" i="1"/>
  <c r="L95" i="1"/>
  <c r="L97" i="1"/>
  <c r="J102" i="1"/>
  <c r="L104" i="1"/>
  <c r="L106" i="1"/>
  <c r="K109" i="1"/>
  <c r="J112" i="1"/>
  <c r="L124" i="1"/>
  <c r="K127" i="1"/>
  <c r="J130" i="1"/>
  <c r="J117" i="1"/>
  <c r="I120" i="1"/>
  <c r="L122" i="1"/>
  <c r="I135" i="1"/>
  <c r="E135" i="1" s="1"/>
  <c r="K137" i="1"/>
  <c r="I140" i="1"/>
  <c r="E140" i="1" s="1"/>
  <c r="L137" i="1"/>
  <c r="L138" i="1"/>
  <c r="J115" i="1"/>
  <c r="J75" i="1"/>
  <c r="J81" i="1"/>
  <c r="L85" i="1"/>
  <c r="J90" i="1"/>
  <c r="J99" i="1"/>
  <c r="K134" i="1"/>
  <c r="I114" i="1"/>
  <c r="I132" i="1"/>
  <c r="K136" i="1"/>
  <c r="J137" i="1"/>
  <c r="L79" i="1"/>
  <c r="J82" i="1"/>
  <c r="L86" i="1"/>
  <c r="J91" i="1"/>
  <c r="J93" i="1"/>
  <c r="J100" i="1"/>
  <c r="I78" i="1"/>
  <c r="I80" i="1"/>
  <c r="K82" i="1"/>
  <c r="K84" i="1"/>
  <c r="I87" i="1"/>
  <c r="I89" i="1"/>
  <c r="K91" i="1"/>
  <c r="K93" i="1"/>
  <c r="I96" i="1"/>
  <c r="I98" i="1"/>
  <c r="K100" i="1"/>
  <c r="K102" i="1"/>
  <c r="I105" i="1"/>
  <c r="L109" i="1"/>
  <c r="K112" i="1"/>
  <c r="L127" i="1"/>
  <c r="K130" i="1"/>
  <c r="J133" i="1"/>
  <c r="L107" i="1"/>
  <c r="J120" i="1"/>
  <c r="I123" i="1"/>
  <c r="L125" i="1"/>
  <c r="K76" i="1"/>
  <c r="J78" i="1"/>
  <c r="L80" i="1"/>
  <c r="L82" i="1"/>
  <c r="J85" i="1"/>
  <c r="J87" i="1"/>
  <c r="L89" i="1"/>
  <c r="L91" i="1"/>
  <c r="J94" i="1"/>
  <c r="J96" i="1"/>
  <c r="L98" i="1"/>
  <c r="L100" i="1"/>
  <c r="J103" i="1"/>
  <c r="J105" i="1"/>
  <c r="L112" i="1"/>
  <c r="K115" i="1"/>
  <c r="J118" i="1"/>
  <c r="L130" i="1"/>
  <c r="K133" i="1"/>
  <c r="I108" i="1"/>
  <c r="L110" i="1"/>
  <c r="J123" i="1"/>
  <c r="I126" i="1"/>
  <c r="L128" i="1"/>
  <c r="I136" i="1"/>
  <c r="E136" i="1" s="1"/>
  <c r="K138" i="1"/>
  <c r="K140" i="1"/>
  <c r="K108" i="1"/>
  <c r="I116" i="1"/>
  <c r="K123" i="1"/>
  <c r="J134" i="1"/>
  <c r="J138" i="1"/>
  <c r="I107" i="1"/>
  <c r="I110" i="1"/>
  <c r="K114" i="1"/>
  <c r="K120" i="1"/>
  <c r="K77" i="1"/>
  <c r="J76" i="1"/>
  <c r="I79" i="1"/>
  <c r="K80" i="1"/>
  <c r="I82" i="1"/>
  <c r="K83" i="1"/>
  <c r="I85" i="1"/>
  <c r="K86" i="1"/>
  <c r="I88" i="1"/>
  <c r="K89" i="1"/>
  <c r="I91" i="1"/>
  <c r="K92" i="1"/>
  <c r="I94" i="1"/>
  <c r="K95" i="1"/>
  <c r="I97" i="1"/>
  <c r="K98" i="1"/>
  <c r="I100" i="1"/>
  <c r="K101" i="1"/>
  <c r="I103" i="1"/>
  <c r="K104" i="1"/>
  <c r="I106" i="1"/>
  <c r="K107" i="1"/>
  <c r="I109" i="1"/>
  <c r="K110" i="1"/>
  <c r="I112" i="1"/>
  <c r="K113" i="1"/>
  <c r="I115" i="1"/>
  <c r="K116" i="1"/>
  <c r="I118" i="1"/>
  <c r="K119" i="1"/>
  <c r="I121" i="1"/>
  <c r="K122" i="1"/>
  <c r="I124" i="1"/>
  <c r="K125" i="1"/>
  <c r="I127" i="1"/>
  <c r="K128" i="1"/>
  <c r="I130" i="1"/>
  <c r="K131" i="1"/>
  <c r="I133" i="1"/>
  <c r="L135" i="1"/>
  <c r="I137" i="1"/>
  <c r="E137" i="1" s="1"/>
  <c r="L139" i="1"/>
  <c r="J140" i="1"/>
  <c r="K111" i="1"/>
  <c r="I113" i="1"/>
  <c r="K117" i="1"/>
  <c r="I119" i="1"/>
  <c r="I122" i="1"/>
  <c r="I125" i="1"/>
  <c r="K126" i="1"/>
  <c r="I128" i="1"/>
  <c r="K129" i="1"/>
  <c r="I131" i="1"/>
  <c r="K132" i="1"/>
  <c r="J135" i="1"/>
  <c r="J139" i="1"/>
  <c r="J77" i="1"/>
  <c r="I134" i="1"/>
  <c r="E134" i="1" s="1"/>
  <c r="L136" i="1"/>
  <c r="I138" i="1"/>
  <c r="E138" i="1" s="1"/>
  <c r="L140" i="1"/>
  <c r="I76" i="1"/>
  <c r="L78" i="1"/>
  <c r="J80" i="1"/>
  <c r="L81" i="1"/>
  <c r="J83" i="1"/>
  <c r="L84" i="1"/>
  <c r="J86" i="1"/>
  <c r="L87" i="1"/>
  <c r="J89" i="1"/>
  <c r="L90" i="1"/>
  <c r="J92" i="1"/>
  <c r="L93" i="1"/>
  <c r="J95" i="1"/>
  <c r="L96" i="1"/>
  <c r="J98" i="1"/>
  <c r="L99" i="1"/>
  <c r="J101" i="1"/>
  <c r="L102" i="1"/>
  <c r="J104" i="1"/>
  <c r="L105" i="1"/>
  <c r="J107" i="1"/>
  <c r="L108" i="1"/>
  <c r="J110" i="1"/>
  <c r="L111" i="1"/>
  <c r="J113" i="1"/>
  <c r="L114" i="1"/>
  <c r="J116" i="1"/>
  <c r="L117" i="1"/>
  <c r="J119" i="1"/>
  <c r="L120" i="1"/>
  <c r="J122" i="1"/>
  <c r="L123" i="1"/>
  <c r="J125" i="1"/>
  <c r="L126" i="1"/>
  <c r="J128" i="1"/>
  <c r="L129" i="1"/>
  <c r="J131" i="1"/>
  <c r="L132" i="1"/>
  <c r="K135" i="1"/>
  <c r="K13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<sst xmlns="http://schemas.openxmlformats.org/spreadsheetml/2006/main" count="334" uniqueCount="85">
  <si>
    <t>Ni-NTA-EN</t>
  </si>
  <si>
    <t>Ni-NTA-Gly</t>
  </si>
  <si>
    <t>Ni-NTA-Ox</t>
  </si>
  <si>
    <t>Ni-NTA</t>
  </si>
  <si>
    <t>Ni-NTA-Ox (AW)</t>
  </si>
  <si>
    <t>1/ Type 1 - Components</t>
  </si>
  <si>
    <t>ID</t>
  </si>
  <si>
    <t>Initial Guess Log Conc.</t>
  </si>
  <si>
    <t>Total Conc.</t>
  </si>
  <si>
    <t>Charge</t>
  </si>
  <si>
    <t>Name</t>
  </si>
  <si>
    <t>H+</t>
  </si>
  <si>
    <t>Ni2+</t>
  </si>
  <si>
    <t>NTA3-</t>
  </si>
  <si>
    <t>en</t>
  </si>
  <si>
    <t>gly</t>
  </si>
  <si>
    <t>ox</t>
  </si>
  <si>
    <t>2/ Type 2 - Species Matrix</t>
  </si>
  <si>
    <t>log Kf</t>
  </si>
  <si>
    <t>NiOH+</t>
  </si>
  <si>
    <t>Ni(OH)2</t>
  </si>
  <si>
    <t>Ni(OH)3-</t>
  </si>
  <si>
    <t>Ni4(OH)4 4+</t>
  </si>
  <si>
    <t>NiNTA</t>
  </si>
  <si>
    <t>Ni(NTA)2</t>
  </si>
  <si>
    <t>Ni(OH)NTA</t>
  </si>
  <si>
    <t>H-NTA</t>
  </si>
  <si>
    <t>NiNTA(en)</t>
  </si>
  <si>
    <t>NiNTA(gly)</t>
  </si>
  <si>
    <t>NiNTA(ox)</t>
  </si>
  <si>
    <t>H2NTA</t>
  </si>
  <si>
    <t>H3NTA</t>
  </si>
  <si>
    <t>H4NTA</t>
  </si>
  <si>
    <t>OH-</t>
  </si>
  <si>
    <t>Ni(en)</t>
  </si>
  <si>
    <t>Ni(gly)</t>
  </si>
  <si>
    <t>Ni(ox)</t>
  </si>
  <si>
    <t>5/ Type 5 - Solid Phases to be Considered</t>
  </si>
  <si>
    <t>Ni(en)2</t>
  </si>
  <si>
    <t>Ni(gly)2</t>
  </si>
  <si>
    <t>Ni(ox)2</t>
  </si>
  <si>
    <t>Ni(OH)2 (s,am)</t>
  </si>
  <si>
    <t>Ni(en)3</t>
  </si>
  <si>
    <t>Ni(gly)3</t>
  </si>
  <si>
    <t>H(ox)</t>
  </si>
  <si>
    <t>H(en)</t>
  </si>
  <si>
    <t>H(gly)</t>
  </si>
  <si>
    <t>H2(ox)</t>
  </si>
  <si>
    <t>H2(en)</t>
  </si>
  <si>
    <t>H2(gly)</t>
  </si>
  <si>
    <t>Ni-EDDA-EN</t>
  </si>
  <si>
    <t>Ni-EDDA-Gly</t>
  </si>
  <si>
    <t>Ni-EDDA-Ox</t>
  </si>
  <si>
    <t>Ni-EDDA</t>
  </si>
  <si>
    <t>EDDA2-</t>
  </si>
  <si>
    <t>NiEDDA</t>
  </si>
  <si>
    <t>Ni(OH)EDDA</t>
  </si>
  <si>
    <t>H-EDDA</t>
  </si>
  <si>
    <t>NiEDDA(en)</t>
  </si>
  <si>
    <t>NiEDDA(gly)</t>
  </si>
  <si>
    <t>NiEDDA(ox)</t>
  </si>
  <si>
    <t>H2EDDA</t>
  </si>
  <si>
    <t>H3EDDA</t>
  </si>
  <si>
    <t>H4EDDA</t>
  </si>
  <si>
    <t>CDTA</t>
  </si>
  <si>
    <t>CDTA4-</t>
  </si>
  <si>
    <t>H-CDTA3-</t>
  </si>
  <si>
    <t>H2CDTA2-</t>
  </si>
  <si>
    <t>H3CDTA-</t>
  </si>
  <si>
    <t>H4CDTA</t>
  </si>
  <si>
    <t>H5CDTA+</t>
  </si>
  <si>
    <t>pH</t>
  </si>
  <si>
    <t>I</t>
  </si>
  <si>
    <t>Labels</t>
  </si>
  <si>
    <t>p-values</t>
  </si>
  <si>
    <t>Trial 1 - AqSpeciateAll and AqSpeciateLabels on the Ni-NTA-Gly system defined in Spec Inputs</t>
  </si>
  <si>
    <t>Trial 2a - AqSpeciateOne on the Ni-NTA-Gly system defined in Spec Inputs - single output</t>
  </si>
  <si>
    <t>*Note that labels refer to numercial codes given to each component and species as defined in input tables (see SpecInputs)</t>
  </si>
  <si>
    <t>*Note the use of named ranges to simplify function inputs (see SpecInputs)</t>
  </si>
  <si>
    <t>Trial 2b - AqSpeciateOne on the Ni-NTA-Gly system defined in Spec Inputs - variable inputs used in tables</t>
  </si>
  <si>
    <t xml:space="preserve">*Vary pH table </t>
  </si>
  <si>
    <t xml:space="preserve">*Vary Ionic Strength table </t>
  </si>
  <si>
    <t>*0.5 M ionic strength is limit of Davies Equation</t>
  </si>
  <si>
    <t>*vary component 13 (Ni) Table</t>
  </si>
  <si>
    <t>Trial 2c - AqSpeciateOne on the Ni-NTA-Gly system defined in Spec Inputs - with variable component override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</si>
</sst>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1" fontId="0" fillId="0" borderId="0" xfId="0" applyNumberForma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1" applyFont="1"/>
    <xf numFmtId="10" fontId="0" fillId="0" borderId="0" xfId="1" applyNumberFormat="1" applyFont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Programs/Boland%20Macros/BolandResearchMacros.xlam" TargetMode="External"/><Relationship Id="rId2" Type="http://schemas.openxmlformats.org/officeDocument/2006/relationships/externalLinkPath" Target="file:///C:\Users\bolandne\Dropbox\Whitman\Research\Programs\Boland%20Macros\BolandResearchMacros.xlam" TargetMode="External"/><Relationship Id="rId1" Type="http://schemas.openxmlformats.org/officeDocument/2006/relationships/externalLinkPath" Target="/Users/bolandne/Dropbox/Whitman/Research/Programs/Boland%20Macros/BolandResearch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Publications/2025%20-%20LMWOA%20on%20L-Exch/CombinedModeling_V02.1_2026-05-21(UN-DUMMY).xlsx" TargetMode="External"/><Relationship Id="rId2" Type="http://schemas.openxmlformats.org/officeDocument/2006/relationships/externalLinkPath" Target="file:///C:\Users\bolandne\Dropbox\Whitman\Publications\2025%20-%20LMWOA%20on%20L-Exch\CombinedModeling_V02.1_2026-05-21(UN-DUMMY).xlsx" TargetMode="External"/><Relationship Id="rId1" Type="http://schemas.openxmlformats.org/officeDocument/2006/relationships/externalLinkPath" Target="/Users/bolandne/Dropbox/Whitman/Publications/2025%20-%20LMWOA%20on%20L-Exch/CombinedModeling_V02.1_2026-05-21(UN-DUMMY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  <sheetName val="SankeyPlot"/>
    </sheetNames>
    <definedNames>
      <definedName name="AqSpeciateOne"/>
    </defined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Notes"/>
      <sheetName val="Dashboard"/>
      <sheetName val="NTA Modeling"/>
      <sheetName val="EDDA Modeling"/>
      <sheetName val="NTA vary pH"/>
      <sheetName val="EDDA vary pH"/>
      <sheetName val="NTA vary LMWOA"/>
      <sheetName val="EDDA vary LMWOA"/>
      <sheetName val="NTA vary L"/>
      <sheetName val="EDDA vary L"/>
      <sheetName val="NTA vary Y"/>
      <sheetName val="EDDA vary Y"/>
      <sheetName val="Equil Ks"/>
      <sheetName val="NiEDDAox Test"/>
      <sheetName val="SpecInputs"/>
      <sheetName val="k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0">
          <cell r="K10">
            <v>16.073872546871044</v>
          </cell>
        </row>
        <row r="11">
          <cell r="K11">
            <v>15.073872546871044</v>
          </cell>
        </row>
        <row r="12">
          <cell r="K12">
            <v>13.049893789059205</v>
          </cell>
        </row>
        <row r="13">
          <cell r="K13">
            <v>10.101936273435523</v>
          </cell>
        </row>
        <row r="15">
          <cell r="K15">
            <v>20.007957515623684</v>
          </cell>
        </row>
        <row r="16">
          <cell r="K16">
            <v>18.921936273435524</v>
          </cell>
        </row>
        <row r="17">
          <cell r="K17">
            <v>16.801936273435523</v>
          </cell>
        </row>
        <row r="18">
          <cell r="K18">
            <v>10.037957515623681</v>
          </cell>
        </row>
        <row r="20">
          <cell r="K20">
            <v>5.516</v>
          </cell>
        </row>
        <row r="21">
          <cell r="K21">
            <v>4.266</v>
          </cell>
        </row>
        <row r="23">
          <cell r="K23">
            <v>12.128000000000004</v>
          </cell>
        </row>
        <row r="24">
          <cell r="K24">
            <v>9.7780000000000022</v>
          </cell>
        </row>
        <row r="26">
          <cell r="K26">
            <v>16.776</v>
          </cell>
        </row>
        <row r="27">
          <cell r="K27">
            <v>9.9280000000000008</v>
          </cell>
        </row>
        <row r="32">
          <cell r="K32">
            <v>28.089787578118408</v>
          </cell>
        </row>
        <row r="33">
          <cell r="K33">
            <v>26.489787578118406</v>
          </cell>
        </row>
        <row r="34">
          <cell r="K34">
            <v>23.795808820306565</v>
          </cell>
        </row>
        <row r="35">
          <cell r="K35">
            <v>19.867851304682883</v>
          </cell>
        </row>
        <row r="36">
          <cell r="K36">
            <v>13.155915031247362</v>
          </cell>
        </row>
        <row r="38">
          <cell r="K38">
            <v>12.793872546871043</v>
          </cell>
        </row>
        <row r="39">
          <cell r="K39">
            <v>16.961936273435523</v>
          </cell>
        </row>
        <row r="40">
          <cell r="K40">
            <v>1.5059150312473619</v>
          </cell>
        </row>
        <row r="42">
          <cell r="K42">
            <v>14.455915031247361</v>
          </cell>
        </row>
        <row r="43">
          <cell r="K43">
            <v>3.3819362734355209</v>
          </cell>
        </row>
        <row r="45">
          <cell r="K45">
            <v>5.160000000000001</v>
          </cell>
        </row>
        <row r="46">
          <cell r="K46">
            <v>8.4359150312473616</v>
          </cell>
        </row>
        <row r="48">
          <cell r="K48">
            <v>6.15</v>
          </cell>
        </row>
        <row r="50">
          <cell r="K50">
            <v>11.120000000000001</v>
          </cell>
        </row>
        <row r="51">
          <cell r="K51">
            <v>14.600000000000001</v>
          </cell>
        </row>
        <row r="53">
          <cell r="K53">
            <v>7.32</v>
          </cell>
        </row>
        <row r="55">
          <cell r="K55">
            <v>13.500000000000002</v>
          </cell>
        </row>
        <row r="56">
          <cell r="K56">
            <v>17.61</v>
          </cell>
        </row>
        <row r="58">
          <cell r="K58">
            <v>14.42608169347435</v>
          </cell>
        </row>
        <row r="59">
          <cell r="K59">
            <v>17.414977120172697</v>
          </cell>
        </row>
        <row r="60">
          <cell r="K60">
            <v>19.993872546871046</v>
          </cell>
        </row>
        <row r="62">
          <cell r="K62">
            <v>15.637933247052516</v>
          </cell>
        </row>
        <row r="63">
          <cell r="K63">
            <v>17.602387545116009</v>
          </cell>
        </row>
        <row r="64">
          <cell r="K64">
            <v>19.5668418431795</v>
          </cell>
        </row>
        <row r="77">
          <cell r="K77">
            <v>12.894000000000002</v>
          </cell>
        </row>
        <row r="78">
          <cell r="K78">
            <v>-9.897000000000002</v>
          </cell>
        </row>
        <row r="79">
          <cell r="K79">
            <v>-18.994000000000003</v>
          </cell>
        </row>
        <row r="80">
          <cell r="K80">
            <v>-29.991000000000007</v>
          </cell>
        </row>
        <row r="81">
          <cell r="K81">
            <v>-27.687999999999999</v>
          </cell>
        </row>
        <row r="83">
          <cell r="K83">
            <v>-13.997</v>
          </cell>
        </row>
      </sheetData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9AA1E-3ACC-4EB7-AE1E-66312E7C37FA}">
  <sheetPr codeName="Sheet1"/>
  <dimension ref="A1:AH50"/>
  <sheetViews>
    <sheetView tabSelected="1" workbookViewId="0">
      <selection activeCell="D9" sqref="D9"/>
    </sheetView>
  </sheetViews>
  <sheetFormatPr defaultRowHeight="14.5" x14ac:dyDescent="0.35"/>
  <sheetData>
    <row r="1" spans="1:34" x14ac:dyDescent="0.35">
      <c r="A1" s="1" t="s">
        <v>75</v>
      </c>
    </row>
    <row r="2" spans="1:34" x14ac:dyDescent="0.35">
      <c r="B2" t="s">
        <v>71</v>
      </c>
      <c r="C2">
        <v>5</v>
      </c>
    </row>
    <row r="3" spans="1:34" x14ac:dyDescent="0.35">
      <c r="B3" t="s">
        <v>72</v>
      </c>
      <c r="C3">
        <v>0.01</v>
      </c>
    </row>
    <row r="4" spans="1:34" x14ac:dyDescent="0.35">
      <c r="B4" s="16" t="s">
        <v>78</v>
      </c>
    </row>
    <row r="5" spans="1:34" x14ac:dyDescent="0.35">
      <c r="B5" s="16" t="s">
        <v>77</v>
      </c>
    </row>
    <row r="6" spans="1:34" x14ac:dyDescent="0.35">
      <c r="B6" t="s">
        <v>73</v>
      </c>
      <c r="C6" t="str" cm="1">
        <f t="array" ref="C6:AH6">AqSpeciateLabels(C2,,C3,NiEDDAGLY_Comp,NiEDDAGLY_Spec,,NiNTA_Solids,,,1)</f>
        <v>p[13]</v>
      </c>
      <c r="D6" t="str">
        <v>p[50]</v>
      </c>
      <c r="E6" t="str">
        <v>p[124]</v>
      </c>
      <c r="F6" t="str">
        <v>p[149]</v>
      </c>
      <c r="G6" t="str">
        <v>p[7491]</v>
      </c>
      <c r="H6" t="str">
        <v>p[7492]</v>
      </c>
      <c r="I6" t="str">
        <v>p[7494]</v>
      </c>
      <c r="J6" t="str">
        <v>p[7510]</v>
      </c>
      <c r="K6" t="str">
        <v>p[7512]</v>
      </c>
      <c r="L6" t="str">
        <v>p[7513]</v>
      </c>
      <c r="M6" t="str">
        <v>p[7520]</v>
      </c>
      <c r="N6" t="str">
        <v>p[7521]</v>
      </c>
      <c r="O6" t="str">
        <v>p[7522]</v>
      </c>
      <c r="P6" t="str">
        <v>p[7523]</v>
      </c>
      <c r="Q6" t="str">
        <v>p[7590]</v>
      </c>
      <c r="R6" t="str">
        <v>p[7610]</v>
      </c>
      <c r="S6" t="str">
        <v>p[7611]</v>
      </c>
      <c r="T6" t="str">
        <v>p[7612]</v>
      </c>
      <c r="U6" t="str">
        <v>p[7620]</v>
      </c>
      <c r="V6" t="str">
        <v>p[7621]</v>
      </c>
      <c r="W6" t="str">
        <v>p[13595]</v>
      </c>
      <c r="X6" t="str">
        <v>SI[20750]</v>
      </c>
      <c r="Y6" t="str">
        <v>Calc I (mol/L)</v>
      </c>
      <c r="Z6" t="str">
        <v>Errors</v>
      </c>
      <c r="AA6" t="str">
        <v>Precipitated solid IDs</v>
      </c>
      <c r="AB6" t="str">
        <v>Newton iterations</v>
      </c>
      <c r="AC6" t="str">
        <v>Convergence precision</v>
      </c>
      <c r="AD6" t="str">
        <v>log10(g) |z|=1</v>
      </c>
      <c r="AE6" t="str">
        <v>log10(g) |z|=2</v>
      </c>
      <c r="AF6" t="str">
        <v>log10(g) |z|=3</v>
      </c>
      <c r="AG6" t="str">
        <v>log10(g) |z|=4</v>
      </c>
      <c r="AH6" t="str">
        <v>log10(g) |z|=5</v>
      </c>
    </row>
    <row r="7" spans="1:34" x14ac:dyDescent="0.35">
      <c r="B7" t="s">
        <v>74</v>
      </c>
      <c r="C7" cm="1">
        <f t="array" ref="C7:AH7">AqSpeciateAll(C2,,C3,NiEDDAGLY_Comp,NiEDDAGLY_Spec,,NiNTA_Solids,,,1)</f>
        <v>7.1669258722169031</v>
      </c>
      <c r="D7">
        <v>4.9552542727272728</v>
      </c>
      <c r="E7">
        <v>8.0353697904705346</v>
      </c>
      <c r="F7">
        <v>11.232656279917983</v>
      </c>
      <c r="G7">
        <v>16.339908781307823</v>
      </c>
      <c r="H7">
        <v>22.292163054035104</v>
      </c>
      <c r="I7">
        <v>36.355703488867626</v>
      </c>
      <c r="J7">
        <v>4.3016329390693437</v>
      </c>
      <c r="K7">
        <v>10.330865969608459</v>
      </c>
      <c r="L7">
        <v>9.1905302156712327</v>
      </c>
      <c r="M7">
        <v>6.3289359461124857</v>
      </c>
      <c r="N7">
        <v>4.6097029155733704</v>
      </c>
      <c r="O7">
        <v>7.4449571883006431</v>
      </c>
      <c r="P7">
        <v>11.224698764294303</v>
      </c>
      <c r="Q7">
        <v>12.19816305403509</v>
      </c>
      <c r="R7">
        <v>9.2312785717783488</v>
      </c>
      <c r="S7">
        <v>12.386139816794341</v>
      </c>
      <c r="T7">
        <v>16.941509607264873</v>
      </c>
      <c r="U7">
        <v>3.3021155177432608</v>
      </c>
      <c r="V7">
        <v>5.9073697904705336</v>
      </c>
      <c r="W7">
        <v>8.9522542727272754</v>
      </c>
      <c r="X7">
        <v>10.153015204139008</v>
      </c>
      <c r="Y7">
        <v>6.5558956732566697E-6</v>
      </c>
      <c r="Z7" t="str">
        <v/>
      </c>
      <c r="AA7" t="str">
        <v/>
      </c>
      <c r="AB7">
        <v>16</v>
      </c>
      <c r="AC7">
        <v>8.8385641597716921E-17</v>
      </c>
      <c r="AD7">
        <v>-1.2989386883245615E-3</v>
      </c>
      <c r="AE7">
        <v>-5.1957547532982462E-3</v>
      </c>
      <c r="AF7">
        <v>-1.1690448194921054E-2</v>
      </c>
      <c r="AG7">
        <v>-2.0783019013192985E-2</v>
      </c>
      <c r="AH7">
        <v>-3.2473467208114039E-2</v>
      </c>
    </row>
    <row r="10" spans="1:34" x14ac:dyDescent="0.35">
      <c r="A10" s="1" t="s">
        <v>76</v>
      </c>
    </row>
    <row r="11" spans="1:34" x14ac:dyDescent="0.35">
      <c r="B11" t="s">
        <v>71</v>
      </c>
      <c r="C11">
        <v>5</v>
      </c>
    </row>
    <row r="12" spans="1:34" x14ac:dyDescent="0.35">
      <c r="B12" t="s">
        <v>72</v>
      </c>
      <c r="C12">
        <v>0.01</v>
      </c>
    </row>
    <row r="14" spans="1:34" x14ac:dyDescent="0.35">
      <c r="B14">
        <v>13</v>
      </c>
      <c r="C14">
        <v>7521</v>
      </c>
    </row>
    <row r="15" spans="1:34" x14ac:dyDescent="0.35">
      <c r="B15" cm="1">
        <f t="array" ref="B15">AqSpeciateOne($C$11,,$C$12,NiEDDAGLY_Comp,NiEDDAGLY_Spec,,NiNTA_Solids,B$14,)</f>
        <v>7.1669258722169031</v>
      </c>
      <c r="C15" cm="1">
        <f t="array" ref="C15">AqSpeciateOne($C$11,,$C$12,NiEDDAGLY_Comp,NiEDDAGLY_Spec,,NiNTA_Solids,C$14,)</f>
        <v>4.6097029155733704</v>
      </c>
    </row>
    <row r="17" spans="1:8" x14ac:dyDescent="0.35">
      <c r="A17" s="1" t="s">
        <v>79</v>
      </c>
    </row>
    <row r="18" spans="1:8" x14ac:dyDescent="0.35">
      <c r="B18" t="s">
        <v>71</v>
      </c>
      <c r="C18">
        <v>5</v>
      </c>
    </row>
    <row r="19" spans="1:8" x14ac:dyDescent="0.35">
      <c r="B19" t="s">
        <v>72</v>
      </c>
      <c r="C19">
        <v>0.01</v>
      </c>
    </row>
    <row r="21" spans="1:8" x14ac:dyDescent="0.35">
      <c r="B21" s="16" t="s">
        <v>80</v>
      </c>
      <c r="F21" s="16" t="s">
        <v>81</v>
      </c>
    </row>
    <row r="22" spans="1:8" x14ac:dyDescent="0.35">
      <c r="B22" t="s">
        <v>71</v>
      </c>
      <c r="C22">
        <v>13</v>
      </c>
      <c r="D22">
        <v>7521</v>
      </c>
      <c r="F22" t="s">
        <v>72</v>
      </c>
      <c r="G22">
        <v>13</v>
      </c>
      <c r="H22">
        <v>7521</v>
      </c>
    </row>
    <row r="23" spans="1:8" x14ac:dyDescent="0.35">
      <c r="B23">
        <v>2</v>
      </c>
      <c r="C23" cm="1">
        <f t="array" ref="C23">AqSpeciateOne($B23,,$C$19,NiEDDAGLY_Comp,NiEDDAGLY_Spec,,NiNTA_Solids,C$22,)</f>
        <v>4.3013903421664041</v>
      </c>
      <c r="D23" cm="1">
        <f t="array" ref="D23">AqSpeciateOne($B23,,$C$19,NiEDDAGLY_Comp,NiEDDAGLY_Spec,,NiNTA_Solids,D$22,)</f>
        <v>4.5571855042356422</v>
      </c>
      <c r="F23">
        <v>0</v>
      </c>
      <c r="G23" cm="1">
        <f t="array" ref="G23">AqSpeciateOne($C$18,,$F23,NiEDDAGLY_Comp,NiEDDAGLY_Spec,,NiNTA_Solids,G$22,)</f>
        <v>7.3461644692132966</v>
      </c>
      <c r="H23" cm="1">
        <f t="array" ref="H23">AqSpeciateOne($C$18,,$F23,NiEDDAGLY_Comp,NiEDDAGLY_Spec,,NiNTA_Solids,H$22,)</f>
        <v>4.6092459257533402</v>
      </c>
    </row>
    <row r="24" spans="1:8" x14ac:dyDescent="0.35">
      <c r="B24">
        <v>3</v>
      </c>
      <c r="C24" cm="1">
        <f t="array" ref="C24">AqSpeciateOne($B24,,$C$19,NiEDDAGLY_Comp,NiEDDAGLY_Spec,,NiNTA_Solids,C$22,)</f>
        <v>4.3712817581443568</v>
      </c>
      <c r="D24" cm="1">
        <f t="array" ref="D24">AqSpeciateOne($B24,,$C$19,NiEDDAGLY_Comp,NiEDDAGLY_Spec,,NiNTA_Solids,D$22,)</f>
        <v>4.2306952776953564</v>
      </c>
      <c r="F24">
        <v>1E-4</v>
      </c>
      <c r="G24" cm="1">
        <f t="array" ref="G24">AqSpeciateOne($C$18,,$F24,NiEDDAGLY_Comp,NiEDDAGLY_Spec,,NiNTA_Solids,G$22,)</f>
        <v>7.3260310529347361</v>
      </c>
      <c r="H24" cm="1">
        <f t="array" ref="H24">AqSpeciateOne($C$18,,$F24,NiEDDAGLY_Comp,NiEDDAGLY_Spec,,NiNTA_Solids,H$22,)</f>
        <v>4.6093007137255801</v>
      </c>
    </row>
    <row r="25" spans="1:8" x14ac:dyDescent="0.35">
      <c r="B25">
        <v>4</v>
      </c>
      <c r="C25" cm="1">
        <f t="array" ref="C25">AqSpeciateOne($B25,,$C$19,NiEDDAGLY_Comp,NiEDDAGLY_Spec,,NiNTA_Solids,C$22,)</f>
        <v>5.2938824252082677</v>
      </c>
      <c r="D25" cm="1">
        <f t="array" ref="D25">AqSpeciateOne($B25,,$C$19,NiEDDAGLY_Comp,NiEDDAGLY_Spec,,NiNTA_Solids,D$22,)</f>
        <v>4.5287444890162769</v>
      </c>
      <c r="F25">
        <v>1E-3</v>
      </c>
      <c r="G25" cm="1">
        <f t="array" ref="G25">AqSpeciateOne($C$18,,$F25,NiEDDAGLY_Comp,NiEDDAGLY_Spec,,NiNTA_Solids,G$22,)</f>
        <v>7.284259126937787</v>
      </c>
      <c r="H25" cm="1">
        <f t="array" ref="H25">AqSpeciateOne($C$18,,$F25,NiEDDAGLY_Comp,NiEDDAGLY_Spec,,NiNTA_Solids,H$22,)</f>
        <v>4.6094120743864444</v>
      </c>
    </row>
    <row r="26" spans="1:8" x14ac:dyDescent="0.35">
      <c r="B26">
        <v>5</v>
      </c>
      <c r="C26" cm="1">
        <f t="array" ref="C26">AqSpeciateOne($B26,,$C$19,NiEDDAGLY_Comp,NiEDDAGLY_Spec,,NiNTA_Solids,C$22,)</f>
        <v>7.1669258722169031</v>
      </c>
      <c r="D26" cm="1">
        <f t="array" ref="D26">AqSpeciateOne($B26,,$C$19,NiEDDAGLY_Comp,NiEDDAGLY_Spec,,NiNTA_Solids,D$22,)</f>
        <v>4.6097029155733704</v>
      </c>
      <c r="F26">
        <v>0.01</v>
      </c>
      <c r="G26" cm="1">
        <f t="array" ref="G26">AqSpeciateOne($C$18,,$F26,NiEDDAGLY_Comp,NiEDDAGLY_Spec,,NiNTA_Solids,G$22,)</f>
        <v>7.1669258722169031</v>
      </c>
      <c r="H26" cm="1">
        <f t="array" ref="H26">AqSpeciateOne($C$18,,$F26,NiEDDAGLY_Comp,NiEDDAGLY_Spec,,NiNTA_Solids,H$22,)</f>
        <v>4.6097029155733704</v>
      </c>
    </row>
    <row r="27" spans="1:8" x14ac:dyDescent="0.35">
      <c r="B27">
        <v>6</v>
      </c>
      <c r="C27" cm="1">
        <f t="array" ref="C27">AqSpeciateOne($B27,,$C$19,NiEDDAGLY_Comp,NiEDDAGLY_Spec,,NiNTA_Solids,C$22,)</f>
        <v>9.0981176858210411</v>
      </c>
      <c r="D27" cm="1">
        <f t="array" ref="D27">AqSpeciateOne($B27,,$C$19,NiEDDAGLY_Comp,NiEDDAGLY_Spec,,NiNTA_Solids,D$22,)</f>
        <v>4.6779759531888327</v>
      </c>
      <c r="F27">
        <v>0.1</v>
      </c>
      <c r="G27" cm="1">
        <f t="array" ref="G27">AqSpeciateOne($C$18,,$F27,NiEDDAGLY_Comp,NiEDDAGLY_Spec,,NiNTA_Solids,G$22,)</f>
        <v>6.9178619101635137</v>
      </c>
      <c r="H27" cm="1">
        <f t="array" ref="H27">AqSpeciateOne($C$18,,$F27,NiEDDAGLY_Comp,NiEDDAGLY_Spec,,NiNTA_Solids,H$22,)</f>
        <v>4.6101351306426386</v>
      </c>
    </row>
    <row r="28" spans="1:8" x14ac:dyDescent="0.35">
      <c r="B28">
        <v>7</v>
      </c>
      <c r="C28" cm="1">
        <f t="array" ref="C28">AqSpeciateOne($B28,,$C$19,NiEDDAGLY_Comp,NiEDDAGLY_Spec,,NiNTA_Solids,C$22,)</f>
        <v>10.710492284190661</v>
      </c>
      <c r="D28" cm="1">
        <f t="array" ref="D28">AqSpeciateOne($B28,,$C$19,NiEDDAGLY_Comp,NiEDDAGLY_Spec,,NiNTA_Solids,D$22,)</f>
        <v>5.0661352536287332</v>
      </c>
      <c r="F28">
        <v>0.5</v>
      </c>
      <c r="G28" cm="1">
        <f t="array" ref="G28">AqSpeciateOne($C$18,,$F28,NiEDDAGLY_Comp,NiEDDAGLY_Spec,,NiNTA_Solids,G$22,)</f>
        <v>6.8082448671654898</v>
      </c>
      <c r="H28" cm="1">
        <f t="array" ref="H28">AqSpeciateOne($C$18,,$F28,NiEDDAGLY_Comp,NiEDDAGLY_Spec,,NiNTA_Solids,H$22,)</f>
        <v>4.6101915951270023</v>
      </c>
    </row>
    <row r="29" spans="1:8" x14ac:dyDescent="0.35">
      <c r="B29">
        <v>8</v>
      </c>
      <c r="C29" cm="1">
        <f t="array" ref="C29">AqSpeciateOne($B29,,$C$19,NiEDDAGLY_Comp,NiEDDAGLY_Spec,,NiNTA_Solids,C$22,)</f>
        <v>11.871782921763556</v>
      </c>
      <c r="D29" cm="1">
        <f t="array" ref="D29">AqSpeciateOne($B29,,$C$19,NiEDDAGLY_Comp,NiEDDAGLY_Spec,,NiNTA_Solids,D$22,)</f>
        <v>5.9101232295223554</v>
      </c>
      <c r="F29" s="16" t="s">
        <v>82</v>
      </c>
    </row>
    <row r="30" spans="1:8" x14ac:dyDescent="0.35">
      <c r="B30">
        <v>9</v>
      </c>
      <c r="C30" cm="1">
        <f t="array" ref="C30">AqSpeciateOne($B30,,$C$19,NiEDDAGLY_Comp,NiEDDAGLY_Spec,,NiNTA_Solids,C$22,)</f>
        <v>12.88837495705574</v>
      </c>
      <c r="D30" cm="1">
        <f t="array" ref="D30">AqSpeciateOne($B30,,$C$19,NiEDDAGLY_Comp,NiEDDAGLY_Spec,,NiNTA_Solids,D$22,)</f>
        <v>6.9359261708484858</v>
      </c>
    </row>
    <row r="31" spans="1:8" x14ac:dyDescent="0.35">
      <c r="B31">
        <v>10</v>
      </c>
      <c r="C31" cm="1">
        <f t="array" ref="C31">AqSpeciateOne($B31,,$C$19,NiEDDAGLY_Comp,NiEDDAGLY_Spec,,NiNTA_Solids,C$22,)</f>
        <v>13.727381766657981</v>
      </c>
      <c r="D31" cm="1">
        <f t="array" ref="D31">AqSpeciateOne($B31,,$C$19,NiEDDAGLY_Comp,NiEDDAGLY_Spec,,NiNTA_Solids,D$22,)</f>
        <v>8.2347560089026697</v>
      </c>
    </row>
    <row r="32" spans="1:8" x14ac:dyDescent="0.35">
      <c r="B32">
        <v>11</v>
      </c>
      <c r="C32" cm="1">
        <f t="array" ref="C32">AqSpeciateOne($B32,,$C$19,NiEDDAGLY_Comp,NiEDDAGLY_Spec,,NiNTA_Solids,C$22,)</f>
        <v>14.175549074153638</v>
      </c>
      <c r="D32" cm="1">
        <f t="array" ref="D32">AqSpeciateOne($B32,,$C$19,NiEDDAGLY_Comp,NiEDDAGLY_Spec,,NiNTA_Solids,D$22,)</f>
        <v>10.012574355816033</v>
      </c>
    </row>
    <row r="33" spans="1:4" x14ac:dyDescent="0.35">
      <c r="B33">
        <v>12</v>
      </c>
      <c r="C33" cm="1">
        <f t="array" ref="C33">AqSpeciateOne($B33,,$C$19,NiEDDAGLY_Comp,NiEDDAGLY_Spec,,NiNTA_Solids,C$22,)</f>
        <v>14.836512621055666</v>
      </c>
      <c r="D33" cm="1">
        <f t="array" ref="D33">AqSpeciateOne($B33,,$C$19,NiEDDAGLY_Comp,NiEDDAGLY_Spec,,NiNTA_Solids,D$22,)</f>
        <v>11.982550404565973</v>
      </c>
    </row>
    <row r="35" spans="1:4" x14ac:dyDescent="0.35">
      <c r="A35" s="1" t="s">
        <v>84</v>
      </c>
    </row>
    <row r="36" spans="1:4" x14ac:dyDescent="0.35">
      <c r="B36" t="s">
        <v>71</v>
      </c>
      <c r="C36">
        <v>5</v>
      </c>
    </row>
    <row r="37" spans="1:4" x14ac:dyDescent="0.35">
      <c r="B37" t="s">
        <v>72</v>
      </c>
      <c r="C37">
        <v>0.01</v>
      </c>
    </row>
    <row r="39" spans="1:4" x14ac:dyDescent="0.35">
      <c r="B39" s="16" t="s">
        <v>83</v>
      </c>
    </row>
    <row r="40" spans="1:4" x14ac:dyDescent="0.35">
      <c r="B40">
        <v>13</v>
      </c>
      <c r="C40">
        <v>7521</v>
      </c>
    </row>
    <row r="41" spans="1:4" x14ac:dyDescent="0.35">
      <c r="B41">
        <v>1.0000000000000001E-5</v>
      </c>
      <c r="C41" cm="1">
        <f t="array" ref="C41">AqSpeciateOne($C$36,,$C$37,NiEDDAGLY_Comp,NiEDDAGLY_Spec,,NiNTA_Solids,C$40,$B$40,B41)</f>
        <v>4.1958855491689917</v>
      </c>
    </row>
    <row r="42" spans="1:4" x14ac:dyDescent="0.35">
      <c r="B42">
        <v>2.0000000000000002E-5</v>
      </c>
      <c r="C42" cm="1">
        <f t="array" ref="C42">AqSpeciateOne($C$36,,$C$37,NiEDDAGLY_Comp,NiEDDAGLY_Spec,,NiNTA_Solids,C$40,$B$40,B42)</f>
        <v>4.2683727266491633</v>
      </c>
    </row>
    <row r="43" spans="1:4" x14ac:dyDescent="0.35">
      <c r="B43">
        <v>3.0000000000000001E-5</v>
      </c>
      <c r="C43" cm="1">
        <f t="array" ref="C43">AqSpeciateOne($C$36,,$C$37,NiEDDAGLY_Comp,NiEDDAGLY_Spec,,NiNTA_Solids,C$40,$B$40,B43)</f>
        <v>4.3554003058325765</v>
      </c>
    </row>
    <row r="44" spans="1:4" x14ac:dyDescent="0.35">
      <c r="B44">
        <v>4.0000000000000003E-5</v>
      </c>
      <c r="C44" cm="1">
        <f t="array" ref="C44">AqSpeciateOne($C$36,,$C$37,NiEDDAGLY_Comp,NiEDDAGLY_Spec,,NiNTA_Solids,C$40,$B$40,B44)</f>
        <v>4.4642786206408687</v>
      </c>
    </row>
    <row r="45" spans="1:4" x14ac:dyDescent="0.35">
      <c r="B45">
        <v>5.0000000000000002E-5</v>
      </c>
      <c r="C45" cm="1">
        <f t="array" ref="C45">AqSpeciateOne($C$36,,$C$37,NiEDDAGLY_Comp,NiEDDAGLY_Spec,,NiNTA_Solids,C$40,$B$40,B45)</f>
        <v>4.6097029155733704</v>
      </c>
    </row>
    <row r="46" spans="1:4" x14ac:dyDescent="0.35">
      <c r="B46">
        <v>6.0000000000000002E-5</v>
      </c>
      <c r="C46" cm="1">
        <f t="array" ref="C46">AqSpeciateOne($C$36,,$C$37,NiEDDAGLY_Comp,NiEDDAGLY_Spec,,NiNTA_Solids,C$40,$B$40,B46)</f>
        <v>4.8288126745454978</v>
      </c>
    </row>
    <row r="47" spans="1:4" x14ac:dyDescent="0.35">
      <c r="B47">
        <v>6.9999999999999994E-5</v>
      </c>
      <c r="C47" cm="1">
        <f t="array" ref="C47">AqSpeciateOne($C$36,,$C$37,NiEDDAGLY_Comp,NiEDDAGLY_Spec,,NiNTA_Solids,C$40,$B$40,B47)</f>
        <v>5.2731702183389082</v>
      </c>
    </row>
    <row r="48" spans="1:4" x14ac:dyDescent="0.35">
      <c r="B48">
        <v>8.0000000000000007E-5</v>
      </c>
      <c r="C48" cm="1">
        <f t="array" ref="C48">AqSpeciateOne($C$36,,$C$37,NiEDDAGLY_Comp,NiEDDAGLY_Spec,,NiNTA_Solids,C$40,$B$40,B48)</f>
        <v>6.3369072839552958</v>
      </c>
    </row>
    <row r="49" spans="2:3" x14ac:dyDescent="0.35">
      <c r="B49">
        <v>9.0000000000000006E-5</v>
      </c>
      <c r="C49" cm="1">
        <f t="array" ref="C49">AqSpeciateOne($C$36,,$C$37,NiEDDAGLY_Comp,NiEDDAGLY_Spec,,NiNTA_Solids,C$40,$B$40,B49)</f>
        <v>6.7781800505834502</v>
      </c>
    </row>
    <row r="50" spans="2:3" x14ac:dyDescent="0.35">
      <c r="B50">
        <v>1E-4</v>
      </c>
      <c r="C50" cm="1">
        <f t="array" ref="C50">AqSpeciateOne($C$36,,$C$37,NiEDDAGLY_Comp,NiEDDAGLY_Spec,,NiNTA_Solids,C$40,$B$40,B50)</f>
        <v>6.9965263835023634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CB80-3519-4839-A964-96BCC0B83DE9}">
  <sheetPr codeName="Sheet2">
    <tabColor theme="4" tint="0.59999389629810485"/>
  </sheetPr>
  <dimension ref="A1:AM140"/>
  <sheetViews>
    <sheetView workbookViewId="0">
      <selection activeCell="R18" sqref="R18"/>
    </sheetView>
  </sheetViews>
  <sheetFormatPr defaultRowHeight="14.5" x14ac:dyDescent="0.35"/>
  <cols>
    <col min="7" max="7" width="13.54296875" bestFit="1" customWidth="1"/>
    <col min="15" max="15" width="13.54296875" bestFit="1" customWidth="1"/>
    <col min="23" max="23" width="13.54296875" bestFit="1" customWidth="1"/>
    <col min="31" max="31" width="13.54296875" bestFit="1" customWidth="1"/>
  </cols>
  <sheetData>
    <row r="1" spans="1:39" s="1" customFormat="1" ht="15" thickBot="1" x14ac:dyDescent="0.4">
      <c r="A1" s="1" t="s">
        <v>0</v>
      </c>
      <c r="I1" s="1" t="s">
        <v>1</v>
      </c>
      <c r="Q1" s="1" t="s">
        <v>2</v>
      </c>
      <c r="Y1" s="1" t="s">
        <v>3</v>
      </c>
      <c r="AG1" s="1" t="s">
        <v>4</v>
      </c>
    </row>
    <row r="2" spans="1:39" x14ac:dyDescent="0.35">
      <c r="A2" s="2" t="s">
        <v>5</v>
      </c>
      <c r="B2" s="3"/>
      <c r="C2" s="3"/>
      <c r="D2" s="3"/>
      <c r="E2" s="3"/>
      <c r="F2" s="3"/>
      <c r="G2" s="4"/>
      <c r="I2" s="2" t="s">
        <v>5</v>
      </c>
      <c r="J2" s="3"/>
      <c r="K2" s="3"/>
      <c r="L2" s="3"/>
      <c r="M2" s="3"/>
      <c r="N2" s="3"/>
      <c r="O2" s="4"/>
      <c r="Q2" s="2" t="s">
        <v>5</v>
      </c>
      <c r="R2" s="3"/>
      <c r="S2" s="3"/>
      <c r="T2" s="3"/>
      <c r="U2" s="3"/>
      <c r="V2" s="3"/>
      <c r="W2" s="4"/>
      <c r="Y2" s="2" t="s">
        <v>5</v>
      </c>
      <c r="Z2" s="3"/>
      <c r="AA2" s="3"/>
      <c r="AB2" s="3"/>
      <c r="AC2" s="3"/>
      <c r="AD2" s="3"/>
      <c r="AE2" s="4"/>
      <c r="AG2" s="2" t="s">
        <v>5</v>
      </c>
      <c r="AH2" s="3"/>
      <c r="AI2" s="3"/>
      <c r="AJ2" s="3"/>
      <c r="AK2" s="3"/>
      <c r="AL2" s="3"/>
      <c r="AM2" s="4"/>
    </row>
    <row r="3" spans="1:39" x14ac:dyDescent="0.35">
      <c r="A3" s="5" t="s">
        <v>6</v>
      </c>
      <c r="B3" t="s">
        <v>7</v>
      </c>
      <c r="C3" t="s">
        <v>8</v>
      </c>
      <c r="D3" t="s">
        <v>9</v>
      </c>
      <c r="E3" t="s">
        <v>10</v>
      </c>
      <c r="G3" s="6"/>
      <c r="I3" s="5" t="s">
        <v>6</v>
      </c>
      <c r="J3" t="s">
        <v>7</v>
      </c>
      <c r="K3" t="s">
        <v>8</v>
      </c>
      <c r="L3" t="s">
        <v>9</v>
      </c>
      <c r="M3" t="s">
        <v>10</v>
      </c>
      <c r="O3" s="6"/>
      <c r="Q3" s="5" t="s">
        <v>6</v>
      </c>
      <c r="R3" t="s">
        <v>7</v>
      </c>
      <c r="S3" t="s">
        <v>8</v>
      </c>
      <c r="T3" t="s">
        <v>9</v>
      </c>
      <c r="U3" t="s">
        <v>10</v>
      </c>
      <c r="W3" s="6"/>
      <c r="Y3" s="5" t="s">
        <v>6</v>
      </c>
      <c r="Z3" t="s">
        <v>7</v>
      </c>
      <c r="AA3" t="s">
        <v>8</v>
      </c>
      <c r="AB3" t="s">
        <v>9</v>
      </c>
      <c r="AC3" t="s">
        <v>10</v>
      </c>
      <c r="AE3" s="6"/>
      <c r="AG3" s="5" t="s">
        <v>6</v>
      </c>
      <c r="AH3" t="s">
        <v>7</v>
      </c>
      <c r="AI3" t="s">
        <v>8</v>
      </c>
      <c r="AJ3" t="s">
        <v>9</v>
      </c>
      <c r="AK3" t="s">
        <v>10</v>
      </c>
      <c r="AM3" s="6"/>
    </row>
    <row r="4" spans="1:39" x14ac:dyDescent="0.35">
      <c r="A4" s="5">
        <v>50</v>
      </c>
      <c r="B4">
        <v>-5</v>
      </c>
      <c r="C4" s="7">
        <v>9.9999999999999995E-8</v>
      </c>
      <c r="D4">
        <v>1</v>
      </c>
      <c r="E4" t="s">
        <v>11</v>
      </c>
      <c r="G4" s="6"/>
      <c r="I4" s="5">
        <v>50</v>
      </c>
      <c r="J4">
        <v>-5</v>
      </c>
      <c r="K4" s="7">
        <v>9.9999999999999995E-8</v>
      </c>
      <c r="L4">
        <v>1</v>
      </c>
      <c r="M4" t="s">
        <v>11</v>
      </c>
      <c r="O4" s="6"/>
      <c r="Q4" s="5">
        <v>50</v>
      </c>
      <c r="R4">
        <v>-5</v>
      </c>
      <c r="S4" s="7">
        <v>9.9999999999999995E-8</v>
      </c>
      <c r="T4">
        <v>1</v>
      </c>
      <c r="U4" t="s">
        <v>11</v>
      </c>
      <c r="W4" s="6"/>
      <c r="Y4" s="5">
        <v>50</v>
      </c>
      <c r="Z4">
        <v>-5</v>
      </c>
      <c r="AA4" s="7">
        <v>9.9999999999999995E-8</v>
      </c>
      <c r="AB4">
        <v>1</v>
      </c>
      <c r="AC4" t="s">
        <v>11</v>
      </c>
      <c r="AE4" s="6"/>
      <c r="AG4" s="5">
        <v>50</v>
      </c>
      <c r="AH4">
        <v>-5</v>
      </c>
      <c r="AI4" s="7">
        <v>9.9999999999999995E-8</v>
      </c>
      <c r="AJ4">
        <v>1</v>
      </c>
      <c r="AK4" t="s">
        <v>11</v>
      </c>
      <c r="AM4" s="6"/>
    </row>
    <row r="5" spans="1:39" x14ac:dyDescent="0.35">
      <c r="A5" s="5">
        <v>13</v>
      </c>
      <c r="B5">
        <v>-8</v>
      </c>
      <c r="C5" s="7">
        <v>5.0000000000000002E-5</v>
      </c>
      <c r="D5">
        <v>2</v>
      </c>
      <c r="E5" t="s">
        <v>12</v>
      </c>
      <c r="G5" s="6"/>
      <c r="I5" s="5">
        <v>13</v>
      </c>
      <c r="J5">
        <v>-8</v>
      </c>
      <c r="K5" s="7">
        <v>5.0000000000000002E-5</v>
      </c>
      <c r="L5">
        <v>2</v>
      </c>
      <c r="M5" t="s">
        <v>12</v>
      </c>
      <c r="O5" s="6"/>
      <c r="Q5" s="5">
        <v>13</v>
      </c>
      <c r="R5">
        <v>-8</v>
      </c>
      <c r="S5" s="7">
        <v>5.0000000000000002E-5</v>
      </c>
      <c r="T5">
        <v>2</v>
      </c>
      <c r="U5" t="s">
        <v>12</v>
      </c>
      <c r="W5" s="6"/>
      <c r="Y5" s="5">
        <v>13</v>
      </c>
      <c r="Z5">
        <v>-8</v>
      </c>
      <c r="AA5" s="7">
        <v>5.0000000000000002E-5</v>
      </c>
      <c r="AB5">
        <v>2</v>
      </c>
      <c r="AC5" t="s">
        <v>12</v>
      </c>
      <c r="AE5" s="6"/>
      <c r="AG5" s="5">
        <v>13</v>
      </c>
      <c r="AH5">
        <v>-8</v>
      </c>
      <c r="AI5" s="7">
        <v>5.0000000000000002E-5</v>
      </c>
      <c r="AJ5">
        <v>2</v>
      </c>
      <c r="AK5" t="s">
        <v>12</v>
      </c>
      <c r="AM5" s="6"/>
    </row>
    <row r="6" spans="1:39" x14ac:dyDescent="0.35">
      <c r="A6" s="5">
        <v>165</v>
      </c>
      <c r="B6">
        <v>-7</v>
      </c>
      <c r="C6" s="7">
        <v>7.4999999999999993E-5</v>
      </c>
      <c r="D6">
        <v>-3</v>
      </c>
      <c r="E6" t="s">
        <v>13</v>
      </c>
      <c r="G6" s="6"/>
      <c r="I6" s="5">
        <v>165</v>
      </c>
      <c r="J6">
        <v>-7</v>
      </c>
      <c r="K6" s="7">
        <v>7.4999999999999993E-5</v>
      </c>
      <c r="L6">
        <v>-3</v>
      </c>
      <c r="M6" t="s">
        <v>13</v>
      </c>
      <c r="O6" s="6"/>
      <c r="Q6" s="5">
        <v>165</v>
      </c>
      <c r="R6">
        <v>-7</v>
      </c>
      <c r="S6" s="7">
        <v>7.4999999999999993E-5</v>
      </c>
      <c r="T6">
        <v>-3</v>
      </c>
      <c r="U6" t="s">
        <v>13</v>
      </c>
      <c r="W6" s="6"/>
      <c r="Y6" s="5">
        <v>165</v>
      </c>
      <c r="Z6">
        <v>-7</v>
      </c>
      <c r="AA6" s="7">
        <v>7.4999999999999993E-5</v>
      </c>
      <c r="AB6">
        <v>-3</v>
      </c>
      <c r="AC6" t="s">
        <v>13</v>
      </c>
      <c r="AE6" s="6"/>
      <c r="AG6" s="5">
        <v>165</v>
      </c>
      <c r="AH6">
        <v>-7</v>
      </c>
      <c r="AI6" s="7">
        <v>5.2500000000000002E-5</v>
      </c>
      <c r="AJ6">
        <v>-3</v>
      </c>
      <c r="AK6" t="s">
        <v>13</v>
      </c>
      <c r="AM6" s="6"/>
    </row>
    <row r="7" spans="1:39" x14ac:dyDescent="0.35">
      <c r="A7" s="5">
        <v>121</v>
      </c>
      <c r="B7">
        <v>-12</v>
      </c>
      <c r="C7" s="7">
        <v>5.0000000000000001E-4</v>
      </c>
      <c r="D7">
        <v>0</v>
      </c>
      <c r="E7" t="s">
        <v>14</v>
      </c>
      <c r="G7" s="6"/>
      <c r="I7" s="5">
        <v>124</v>
      </c>
      <c r="J7">
        <v>-12</v>
      </c>
      <c r="K7" s="7">
        <v>5.0000000000000001E-4</v>
      </c>
      <c r="L7">
        <v>-1</v>
      </c>
      <c r="M7" t="s">
        <v>15</v>
      </c>
      <c r="O7" s="6"/>
      <c r="Q7" s="5">
        <v>118</v>
      </c>
      <c r="R7">
        <v>-12</v>
      </c>
      <c r="S7" s="7">
        <v>5.0000000000000001E-4</v>
      </c>
      <c r="T7">
        <v>-2</v>
      </c>
      <c r="U7" t="s">
        <v>16</v>
      </c>
      <c r="W7" s="6"/>
      <c r="Y7" s="5"/>
      <c r="AA7" s="7"/>
      <c r="AE7" s="6"/>
      <c r="AG7" s="5">
        <v>118</v>
      </c>
      <c r="AH7">
        <v>-12</v>
      </c>
      <c r="AI7" s="7">
        <v>1E-4</v>
      </c>
      <c r="AJ7">
        <v>-2</v>
      </c>
      <c r="AK7" t="s">
        <v>16</v>
      </c>
      <c r="AM7" s="6"/>
    </row>
    <row r="8" spans="1:39" x14ac:dyDescent="0.35">
      <c r="A8" s="5"/>
      <c r="G8" s="6"/>
      <c r="I8" s="5"/>
      <c r="O8" s="6"/>
      <c r="Q8" s="5"/>
      <c r="W8" s="6"/>
      <c r="Y8" s="5" t="s">
        <v>17</v>
      </c>
      <c r="AE8" s="6"/>
      <c r="AG8" s="5"/>
      <c r="AM8" s="6"/>
    </row>
    <row r="9" spans="1:39" x14ac:dyDescent="0.35">
      <c r="A9" s="5" t="s">
        <v>17</v>
      </c>
      <c r="G9" s="6"/>
      <c r="I9" s="5" t="s">
        <v>17</v>
      </c>
      <c r="O9" s="6"/>
      <c r="Q9" s="5" t="s">
        <v>17</v>
      </c>
      <c r="W9" s="6"/>
      <c r="Y9" s="5" t="s">
        <v>6</v>
      </c>
      <c r="Z9" t="s">
        <v>18</v>
      </c>
      <c r="AA9">
        <v>50</v>
      </c>
      <c r="AB9">
        <v>13</v>
      </c>
      <c r="AC9">
        <v>165</v>
      </c>
      <c r="AD9" t="s">
        <v>10</v>
      </c>
      <c r="AE9" s="6"/>
      <c r="AG9" s="5" t="s">
        <v>17</v>
      </c>
      <c r="AM9" s="6"/>
    </row>
    <row r="10" spans="1:39" x14ac:dyDescent="0.35">
      <c r="A10" s="5" t="s">
        <v>6</v>
      </c>
      <c r="B10" t="s">
        <v>18</v>
      </c>
      <c r="C10">
        <v>50</v>
      </c>
      <c r="D10">
        <v>13</v>
      </c>
      <c r="E10">
        <v>165</v>
      </c>
      <c r="F10">
        <v>121</v>
      </c>
      <c r="G10" s="6" t="s">
        <v>10</v>
      </c>
      <c r="I10" s="5" t="s">
        <v>6</v>
      </c>
      <c r="J10" t="s">
        <v>18</v>
      </c>
      <c r="K10">
        <v>50</v>
      </c>
      <c r="L10">
        <v>13</v>
      </c>
      <c r="M10">
        <v>165</v>
      </c>
      <c r="N10">
        <v>124</v>
      </c>
      <c r="O10" s="6" t="s">
        <v>10</v>
      </c>
      <c r="Q10" s="5" t="s">
        <v>6</v>
      </c>
      <c r="R10" t="s">
        <v>18</v>
      </c>
      <c r="S10">
        <v>50</v>
      </c>
      <c r="T10">
        <v>13</v>
      </c>
      <c r="U10">
        <v>165</v>
      </c>
      <c r="V10">
        <v>118</v>
      </c>
      <c r="W10" s="6" t="s">
        <v>10</v>
      </c>
      <c r="Y10" s="5">
        <v>7590</v>
      </c>
      <c r="Z10">
        <f>'[2]Equil Ks'!$K$78</f>
        <v>-9.897000000000002</v>
      </c>
      <c r="AA10">
        <v>-1</v>
      </c>
      <c r="AB10">
        <v>1</v>
      </c>
      <c r="AD10" t="s">
        <v>19</v>
      </c>
      <c r="AE10" s="6"/>
      <c r="AG10" s="5" t="s">
        <v>6</v>
      </c>
      <c r="AH10" t="s">
        <v>18</v>
      </c>
      <c r="AI10">
        <v>50</v>
      </c>
      <c r="AJ10">
        <v>13</v>
      </c>
      <c r="AK10">
        <v>165</v>
      </c>
      <c r="AL10">
        <v>118</v>
      </c>
      <c r="AM10" s="6" t="s">
        <v>10</v>
      </c>
    </row>
    <row r="11" spans="1:39" x14ac:dyDescent="0.35">
      <c r="A11" s="5">
        <v>7590</v>
      </c>
      <c r="B11">
        <f>'[2]Equil Ks'!$K$78</f>
        <v>-9.897000000000002</v>
      </c>
      <c r="C11">
        <v>-1</v>
      </c>
      <c r="D11">
        <v>1</v>
      </c>
      <c r="G11" s="6" t="s">
        <v>19</v>
      </c>
      <c r="I11" s="5">
        <v>7590</v>
      </c>
      <c r="J11">
        <f>'[2]Equil Ks'!$K$78</f>
        <v>-9.897000000000002</v>
      </c>
      <c r="K11">
        <v>-1</v>
      </c>
      <c r="L11">
        <v>1</v>
      </c>
      <c r="O11" s="6" t="s">
        <v>19</v>
      </c>
      <c r="Q11" s="5">
        <v>7590</v>
      </c>
      <c r="R11">
        <f>'[2]Equil Ks'!$K$78</f>
        <v>-9.897000000000002</v>
      </c>
      <c r="S11">
        <v>-1</v>
      </c>
      <c r="T11">
        <v>1</v>
      </c>
      <c r="W11" s="6" t="s">
        <v>19</v>
      </c>
      <c r="Y11" s="5">
        <v>7491</v>
      </c>
      <c r="Z11" s="8">
        <f>'[2]Equil Ks'!$K$79</f>
        <v>-18.994000000000003</v>
      </c>
      <c r="AA11">
        <v>-2</v>
      </c>
      <c r="AB11">
        <v>1</v>
      </c>
      <c r="AD11" t="s">
        <v>20</v>
      </c>
      <c r="AE11" s="6"/>
      <c r="AG11" s="5">
        <v>7590</v>
      </c>
      <c r="AH11">
        <f>'[2]Equil Ks'!$K$78</f>
        <v>-9.897000000000002</v>
      </c>
      <c r="AI11">
        <v>-1</v>
      </c>
      <c r="AJ11">
        <v>1</v>
      </c>
      <c r="AM11" s="6" t="s">
        <v>19</v>
      </c>
    </row>
    <row r="12" spans="1:39" x14ac:dyDescent="0.35">
      <c r="A12" s="5">
        <v>7491</v>
      </c>
      <c r="B12" s="8">
        <f>'[2]Equil Ks'!$K$79</f>
        <v>-18.994000000000003</v>
      </c>
      <c r="C12">
        <v>-2</v>
      </c>
      <c r="D12">
        <v>1</v>
      </c>
      <c r="G12" s="6" t="s">
        <v>20</v>
      </c>
      <c r="I12" s="5">
        <v>7491</v>
      </c>
      <c r="J12" s="8">
        <f>'[2]Equil Ks'!$K$79</f>
        <v>-18.994000000000003</v>
      </c>
      <c r="K12">
        <v>-2</v>
      </c>
      <c r="L12">
        <v>1</v>
      </c>
      <c r="O12" s="6" t="s">
        <v>20</v>
      </c>
      <c r="Q12" s="5">
        <v>7491</v>
      </c>
      <c r="R12" s="8">
        <f>'[2]Equil Ks'!$K$79</f>
        <v>-18.994000000000003</v>
      </c>
      <c r="S12">
        <v>-2</v>
      </c>
      <c r="T12">
        <v>1</v>
      </c>
      <c r="W12" s="6" t="s">
        <v>20</v>
      </c>
      <c r="Y12" s="5">
        <v>7492</v>
      </c>
      <c r="Z12" s="8">
        <f>'[2]Equil Ks'!$K$80</f>
        <v>-29.991000000000007</v>
      </c>
      <c r="AA12">
        <v>-3</v>
      </c>
      <c r="AB12">
        <v>1</v>
      </c>
      <c r="AD12" t="s">
        <v>21</v>
      </c>
      <c r="AE12" s="6"/>
      <c r="AG12" s="5">
        <v>7491</v>
      </c>
      <c r="AH12" s="8">
        <f>'[2]Equil Ks'!$K$79</f>
        <v>-18.994000000000003</v>
      </c>
      <c r="AI12">
        <v>-2</v>
      </c>
      <c r="AJ12">
        <v>1</v>
      </c>
      <c r="AM12" s="6" t="s">
        <v>20</v>
      </c>
    </row>
    <row r="13" spans="1:39" x14ac:dyDescent="0.35">
      <c r="A13" s="5">
        <v>7492</v>
      </c>
      <c r="B13" s="8">
        <f>'[2]Equil Ks'!$K$80</f>
        <v>-29.991000000000007</v>
      </c>
      <c r="C13">
        <v>-3</v>
      </c>
      <c r="D13">
        <v>1</v>
      </c>
      <c r="G13" s="6" t="s">
        <v>21</v>
      </c>
      <c r="I13" s="5">
        <v>7492</v>
      </c>
      <c r="J13" s="8">
        <f>'[2]Equil Ks'!$K$80</f>
        <v>-29.991000000000007</v>
      </c>
      <c r="K13">
        <v>-3</v>
      </c>
      <c r="L13">
        <v>1</v>
      </c>
      <c r="O13" s="6" t="s">
        <v>21</v>
      </c>
      <c r="Q13" s="5">
        <v>7492</v>
      </c>
      <c r="R13" s="8">
        <f>'[2]Equil Ks'!$K$80</f>
        <v>-29.991000000000007</v>
      </c>
      <c r="S13">
        <v>-3</v>
      </c>
      <c r="T13">
        <v>1</v>
      </c>
      <c r="W13" s="6" t="s">
        <v>21</v>
      </c>
      <c r="Y13" s="5">
        <v>7494</v>
      </c>
      <c r="Z13" s="9">
        <f>'[2]Equil Ks'!$K$81</f>
        <v>-27.687999999999999</v>
      </c>
      <c r="AA13">
        <v>-4</v>
      </c>
      <c r="AB13">
        <v>4</v>
      </c>
      <c r="AD13" t="s">
        <v>22</v>
      </c>
      <c r="AE13" s="6"/>
      <c r="AG13" s="5">
        <v>7492</v>
      </c>
      <c r="AH13" s="8">
        <f>'[2]Equil Ks'!$K$80</f>
        <v>-29.991000000000007</v>
      </c>
      <c r="AI13">
        <v>-3</v>
      </c>
      <c r="AJ13">
        <v>1</v>
      </c>
      <c r="AM13" s="6" t="s">
        <v>21</v>
      </c>
    </row>
    <row r="14" spans="1:39" x14ac:dyDescent="0.35">
      <c r="A14" s="5">
        <v>7494</v>
      </c>
      <c r="B14" s="9">
        <f>'[2]Equil Ks'!$K$81</f>
        <v>-27.687999999999999</v>
      </c>
      <c r="C14">
        <v>-4</v>
      </c>
      <c r="D14">
        <v>4</v>
      </c>
      <c r="G14" s="6" t="s">
        <v>22</v>
      </c>
      <c r="I14" s="5">
        <v>7494</v>
      </c>
      <c r="J14" s="9">
        <f>'[2]Equil Ks'!$K$81</f>
        <v>-27.687999999999999</v>
      </c>
      <c r="K14">
        <v>-4</v>
      </c>
      <c r="L14">
        <v>4</v>
      </c>
      <c r="O14" s="6" t="s">
        <v>22</v>
      </c>
      <c r="Q14" s="5">
        <v>7494</v>
      </c>
      <c r="R14" s="9">
        <f>'[2]Equil Ks'!$K$81</f>
        <v>-27.687999999999999</v>
      </c>
      <c r="S14">
        <v>-4</v>
      </c>
      <c r="T14">
        <v>4</v>
      </c>
      <c r="W14" s="6" t="s">
        <v>22</v>
      </c>
      <c r="Y14" s="5">
        <v>7510</v>
      </c>
      <c r="Z14" s="10">
        <f>'[2]Equil Ks'!$K$38</f>
        <v>12.793872546871043</v>
      </c>
      <c r="AB14">
        <v>1</v>
      </c>
      <c r="AC14">
        <v>1</v>
      </c>
      <c r="AD14" t="s">
        <v>23</v>
      </c>
      <c r="AE14" s="6"/>
      <c r="AG14" s="5">
        <v>7494</v>
      </c>
      <c r="AH14" s="9">
        <f>'[2]Equil Ks'!$K$81</f>
        <v>-27.687999999999999</v>
      </c>
      <c r="AI14">
        <v>-4</v>
      </c>
      <c r="AJ14">
        <v>4</v>
      </c>
      <c r="AM14" s="6" t="s">
        <v>22</v>
      </c>
    </row>
    <row r="15" spans="1:39" x14ac:dyDescent="0.35">
      <c r="A15" s="5">
        <v>7510</v>
      </c>
      <c r="B15" s="10">
        <f>'[2]Equil Ks'!$K$38</f>
        <v>12.793872546871043</v>
      </c>
      <c r="D15">
        <v>1</v>
      </c>
      <c r="E15">
        <v>1</v>
      </c>
      <c r="G15" s="6" t="s">
        <v>23</v>
      </c>
      <c r="I15" s="5">
        <v>7510</v>
      </c>
      <c r="J15" s="10">
        <f>'[2]Equil Ks'!$K$38</f>
        <v>12.793872546871043</v>
      </c>
      <c r="L15">
        <v>1</v>
      </c>
      <c r="M15">
        <v>1</v>
      </c>
      <c r="O15" s="6" t="s">
        <v>23</v>
      </c>
      <c r="Q15" s="5">
        <v>7510</v>
      </c>
      <c r="R15" s="10">
        <f>'[2]Equil Ks'!$K$38</f>
        <v>12.793872546871043</v>
      </c>
      <c r="T15">
        <v>1</v>
      </c>
      <c r="U15">
        <v>1</v>
      </c>
      <c r="W15" s="6" t="s">
        <v>23</v>
      </c>
      <c r="Y15" s="5">
        <v>7511</v>
      </c>
      <c r="Z15" s="10">
        <f>'[2]Equil Ks'!$K$39</f>
        <v>16.961936273435523</v>
      </c>
      <c r="AB15">
        <v>1</v>
      </c>
      <c r="AC15">
        <v>2</v>
      </c>
      <c r="AD15" t="s">
        <v>24</v>
      </c>
      <c r="AE15" s="6"/>
      <c r="AG15" s="5">
        <v>7510</v>
      </c>
      <c r="AH15" s="10">
        <f>'[2]Equil Ks'!$K$38</f>
        <v>12.793872546871043</v>
      </c>
      <c r="AJ15">
        <v>1</v>
      </c>
      <c r="AK15">
        <v>1</v>
      </c>
      <c r="AM15" s="6" t="s">
        <v>23</v>
      </c>
    </row>
    <row r="16" spans="1:39" x14ac:dyDescent="0.35">
      <c r="A16" s="5">
        <v>7511</v>
      </c>
      <c r="B16" s="10">
        <f>'[2]Equil Ks'!$K$39</f>
        <v>16.961936273435523</v>
      </c>
      <c r="D16">
        <v>1</v>
      </c>
      <c r="E16">
        <v>2</v>
      </c>
      <c r="G16" s="6" t="s">
        <v>24</v>
      </c>
      <c r="I16" s="5">
        <v>7511</v>
      </c>
      <c r="J16" s="10">
        <f>'[2]Equil Ks'!$K$39</f>
        <v>16.961936273435523</v>
      </c>
      <c r="L16">
        <v>1</v>
      </c>
      <c r="M16">
        <v>2</v>
      </c>
      <c r="O16" s="6" t="s">
        <v>24</v>
      </c>
      <c r="Q16" s="5">
        <v>7511</v>
      </c>
      <c r="R16" s="10">
        <f>'[2]Equil Ks'!$K$39</f>
        <v>16.961936273435523</v>
      </c>
      <c r="T16">
        <v>1</v>
      </c>
      <c r="U16">
        <v>2</v>
      </c>
      <c r="W16" s="6" t="s">
        <v>24</v>
      </c>
      <c r="Y16" s="5">
        <v>7512</v>
      </c>
      <c r="Z16" s="10">
        <f>'[2]Equil Ks'!$K$40</f>
        <v>1.5059150312473619</v>
      </c>
      <c r="AA16">
        <v>-1</v>
      </c>
      <c r="AB16">
        <v>1</v>
      </c>
      <c r="AC16">
        <v>1</v>
      </c>
      <c r="AD16" t="s">
        <v>25</v>
      </c>
      <c r="AE16" s="6"/>
      <c r="AG16" s="5">
        <v>7511</v>
      </c>
      <c r="AH16" s="10">
        <f>'[2]Equil Ks'!$K$39</f>
        <v>16.961936273435523</v>
      </c>
      <c r="AJ16">
        <v>1</v>
      </c>
      <c r="AK16">
        <v>2</v>
      </c>
      <c r="AM16" s="6" t="s">
        <v>24</v>
      </c>
    </row>
    <row r="17" spans="1:39" x14ac:dyDescent="0.35">
      <c r="A17" s="5">
        <v>7512</v>
      </c>
      <c r="B17" s="10">
        <f>'[2]Equil Ks'!$K$40</f>
        <v>1.5059150312473619</v>
      </c>
      <c r="C17">
        <v>-1</v>
      </c>
      <c r="D17">
        <v>1</v>
      </c>
      <c r="E17">
        <v>1</v>
      </c>
      <c r="G17" s="6" t="s">
        <v>25</v>
      </c>
      <c r="I17" s="5">
        <v>7512</v>
      </c>
      <c r="J17" s="10">
        <f>'[2]Equil Ks'!$K$40</f>
        <v>1.5059150312473619</v>
      </c>
      <c r="K17">
        <v>-1</v>
      </c>
      <c r="L17">
        <v>1</v>
      </c>
      <c r="M17">
        <v>1</v>
      </c>
      <c r="O17" s="6" t="s">
        <v>25</v>
      </c>
      <c r="Q17" s="5">
        <v>7512</v>
      </c>
      <c r="R17" s="10">
        <f>'[2]Equil Ks'!$K$40</f>
        <v>1.5059150312473619</v>
      </c>
      <c r="S17">
        <v>-1</v>
      </c>
      <c r="T17">
        <v>1</v>
      </c>
      <c r="U17">
        <v>1</v>
      </c>
      <c r="W17" s="6" t="s">
        <v>25</v>
      </c>
      <c r="Y17" s="5">
        <v>7520</v>
      </c>
      <c r="Z17" s="10">
        <f>'[2]Equil Ks'!$K$13</f>
        <v>10.101936273435523</v>
      </c>
      <c r="AA17">
        <v>1</v>
      </c>
      <c r="AC17">
        <v>1</v>
      </c>
      <c r="AD17" t="s">
        <v>26</v>
      </c>
      <c r="AE17" s="6"/>
      <c r="AG17" s="5">
        <v>7512</v>
      </c>
      <c r="AH17" s="10">
        <f>'[2]Equil Ks'!$K$40</f>
        <v>1.5059150312473619</v>
      </c>
      <c r="AI17">
        <v>-1</v>
      </c>
      <c r="AJ17">
        <v>1</v>
      </c>
      <c r="AK17">
        <v>1</v>
      </c>
      <c r="AM17" s="6" t="s">
        <v>25</v>
      </c>
    </row>
    <row r="18" spans="1:39" x14ac:dyDescent="0.35">
      <c r="A18" s="5">
        <v>7513</v>
      </c>
      <c r="B18" s="10">
        <f>'[2]Equil Ks'!$K$60</f>
        <v>19.993872546871046</v>
      </c>
      <c r="D18">
        <v>1</v>
      </c>
      <c r="E18">
        <v>1</v>
      </c>
      <c r="F18">
        <v>1</v>
      </c>
      <c r="G18" s="6" t="s">
        <v>27</v>
      </c>
      <c r="I18" s="5">
        <v>7513</v>
      </c>
      <c r="J18" s="10">
        <f>'[2]Equil Ks'!$K$59</f>
        <v>17.414977120172697</v>
      </c>
      <c r="L18">
        <v>1</v>
      </c>
      <c r="M18">
        <v>1</v>
      </c>
      <c r="N18">
        <v>1</v>
      </c>
      <c r="O18" s="6" t="s">
        <v>28</v>
      </c>
      <c r="Q18" s="5">
        <v>7513</v>
      </c>
      <c r="R18" s="10">
        <f>'[2]Equil Ks'!$K$58</f>
        <v>14.42608169347435</v>
      </c>
      <c r="T18">
        <v>1</v>
      </c>
      <c r="U18">
        <v>1</v>
      </c>
      <c r="V18">
        <v>1</v>
      </c>
      <c r="W18" s="6" t="s">
        <v>29</v>
      </c>
      <c r="Y18" s="5">
        <v>7521</v>
      </c>
      <c r="Z18" s="10">
        <f>'[2]Equil Ks'!$K$12</f>
        <v>13.049893789059205</v>
      </c>
      <c r="AA18">
        <v>2</v>
      </c>
      <c r="AC18">
        <v>1</v>
      </c>
      <c r="AD18" t="s">
        <v>30</v>
      </c>
      <c r="AE18" s="6"/>
      <c r="AG18" s="5">
        <v>7513</v>
      </c>
      <c r="AH18" s="10">
        <f>'[2]Equil Ks'!$K$58</f>
        <v>14.42608169347435</v>
      </c>
      <c r="AJ18">
        <v>1</v>
      </c>
      <c r="AK18">
        <v>1</v>
      </c>
      <c r="AL18">
        <v>1</v>
      </c>
      <c r="AM18" s="6" t="s">
        <v>29</v>
      </c>
    </row>
    <row r="19" spans="1:39" x14ac:dyDescent="0.35">
      <c r="A19" s="5">
        <v>7520</v>
      </c>
      <c r="B19" s="10">
        <f>'[2]Equil Ks'!$K$13</f>
        <v>10.101936273435523</v>
      </c>
      <c r="C19">
        <v>1</v>
      </c>
      <c r="E19">
        <v>1</v>
      </c>
      <c r="G19" s="6" t="s">
        <v>26</v>
      </c>
      <c r="I19" s="5">
        <v>7520</v>
      </c>
      <c r="J19" s="10">
        <f>'[2]Equil Ks'!$K$13</f>
        <v>10.101936273435523</v>
      </c>
      <c r="K19">
        <v>1</v>
      </c>
      <c r="M19">
        <v>1</v>
      </c>
      <c r="O19" s="6" t="s">
        <v>26</v>
      </c>
      <c r="Q19" s="5">
        <v>7520</v>
      </c>
      <c r="R19" s="10">
        <f>'[2]Equil Ks'!$K$13</f>
        <v>10.101936273435523</v>
      </c>
      <c r="S19">
        <v>1</v>
      </c>
      <c r="U19">
        <v>1</v>
      </c>
      <c r="W19" s="6" t="s">
        <v>26</v>
      </c>
      <c r="Y19" s="5">
        <v>7522</v>
      </c>
      <c r="Z19" s="10">
        <f>'[2]Equil Ks'!$K$11</f>
        <v>15.073872546871044</v>
      </c>
      <c r="AA19">
        <v>3</v>
      </c>
      <c r="AC19">
        <v>1</v>
      </c>
      <c r="AD19" t="s">
        <v>31</v>
      </c>
      <c r="AE19" s="6"/>
      <c r="AG19" s="5">
        <v>7520</v>
      </c>
      <c r="AH19" s="10">
        <f>'[2]Equil Ks'!$K$13</f>
        <v>10.101936273435523</v>
      </c>
      <c r="AI19">
        <v>1</v>
      </c>
      <c r="AK19">
        <v>1</v>
      </c>
      <c r="AM19" s="6" t="s">
        <v>26</v>
      </c>
    </row>
    <row r="20" spans="1:39" x14ac:dyDescent="0.35">
      <c r="A20" s="5">
        <v>7521</v>
      </c>
      <c r="B20" s="10">
        <f>'[2]Equil Ks'!$K$12</f>
        <v>13.049893789059205</v>
      </c>
      <c r="C20">
        <v>2</v>
      </c>
      <c r="E20">
        <v>1</v>
      </c>
      <c r="G20" s="6" t="s">
        <v>30</v>
      </c>
      <c r="I20" s="5">
        <v>7521</v>
      </c>
      <c r="J20" s="10">
        <f>'[2]Equil Ks'!$K$12</f>
        <v>13.049893789059205</v>
      </c>
      <c r="K20">
        <v>2</v>
      </c>
      <c r="M20">
        <v>1</v>
      </c>
      <c r="O20" s="6" t="s">
        <v>30</v>
      </c>
      <c r="Q20" s="5">
        <v>7521</v>
      </c>
      <c r="R20" s="10">
        <f>'[2]Equil Ks'!$K$12</f>
        <v>13.049893789059205</v>
      </c>
      <c r="S20">
        <v>2</v>
      </c>
      <c r="U20">
        <v>1</v>
      </c>
      <c r="W20" s="6" t="s">
        <v>30</v>
      </c>
      <c r="Y20" s="5">
        <v>7523</v>
      </c>
      <c r="Z20" s="10">
        <f>'[2]Equil Ks'!$K$10</f>
        <v>16.073872546871044</v>
      </c>
      <c r="AA20">
        <v>4</v>
      </c>
      <c r="AC20">
        <v>1</v>
      </c>
      <c r="AD20" t="s">
        <v>32</v>
      </c>
      <c r="AE20" s="6"/>
      <c r="AG20" s="5">
        <v>7521</v>
      </c>
      <c r="AH20" s="10">
        <f>'[2]Equil Ks'!$K$12</f>
        <v>13.049893789059205</v>
      </c>
      <c r="AI20">
        <v>2</v>
      </c>
      <c r="AK20">
        <v>1</v>
      </c>
      <c r="AM20" s="6" t="s">
        <v>30</v>
      </c>
    </row>
    <row r="21" spans="1:39" x14ac:dyDescent="0.35">
      <c r="A21" s="5">
        <v>7522</v>
      </c>
      <c r="B21" s="10">
        <f>'[2]Equil Ks'!$K$11</f>
        <v>15.073872546871044</v>
      </c>
      <c r="C21">
        <v>3</v>
      </c>
      <c r="E21">
        <v>1</v>
      </c>
      <c r="G21" s="6" t="s">
        <v>31</v>
      </c>
      <c r="I21" s="5">
        <v>7522</v>
      </c>
      <c r="J21" s="10">
        <f>'[2]Equil Ks'!$K$11</f>
        <v>15.073872546871044</v>
      </c>
      <c r="K21">
        <v>3</v>
      </c>
      <c r="M21">
        <v>1</v>
      </c>
      <c r="O21" s="6" t="s">
        <v>31</v>
      </c>
      <c r="Q21" s="5">
        <v>7522</v>
      </c>
      <c r="R21" s="10">
        <f>'[2]Equil Ks'!$K$11</f>
        <v>15.073872546871044</v>
      </c>
      <c r="S21">
        <v>3</v>
      </c>
      <c r="U21">
        <v>1</v>
      </c>
      <c r="W21" s="6" t="s">
        <v>31</v>
      </c>
      <c r="Y21" s="5">
        <v>13595</v>
      </c>
      <c r="Z21">
        <f>'[2]Equil Ks'!$K$83</f>
        <v>-13.997</v>
      </c>
      <c r="AA21">
        <v>-1</v>
      </c>
      <c r="AB21">
        <v>0</v>
      </c>
      <c r="AD21" t="s">
        <v>33</v>
      </c>
      <c r="AE21" s="6"/>
      <c r="AG21" s="5">
        <v>7522</v>
      </c>
      <c r="AH21" s="10">
        <f>'[2]Equil Ks'!$K$11</f>
        <v>15.073872546871044</v>
      </c>
      <c r="AI21">
        <v>3</v>
      </c>
      <c r="AK21">
        <v>1</v>
      </c>
      <c r="AM21" s="6" t="s">
        <v>31</v>
      </c>
    </row>
    <row r="22" spans="1:39" x14ac:dyDescent="0.35">
      <c r="A22" s="5">
        <v>7523</v>
      </c>
      <c r="B22" s="10">
        <f>'[2]Equil Ks'!$K$10</f>
        <v>16.073872546871044</v>
      </c>
      <c r="C22">
        <v>4</v>
      </c>
      <c r="E22">
        <v>1</v>
      </c>
      <c r="G22" s="6" t="s">
        <v>32</v>
      </c>
      <c r="I22" s="5">
        <v>7523</v>
      </c>
      <c r="J22" s="10">
        <f>'[2]Equil Ks'!$K$10</f>
        <v>16.073872546871044</v>
      </c>
      <c r="K22">
        <v>4</v>
      </c>
      <c r="M22">
        <v>1</v>
      </c>
      <c r="O22" s="6" t="s">
        <v>32</v>
      </c>
      <c r="Q22" s="5">
        <v>7523</v>
      </c>
      <c r="R22" s="10">
        <f>'[2]Equil Ks'!$K$10</f>
        <v>16.073872546871044</v>
      </c>
      <c r="S22">
        <v>4</v>
      </c>
      <c r="U22">
        <v>1</v>
      </c>
      <c r="W22" s="6" t="s">
        <v>32</v>
      </c>
      <c r="Y22" s="5"/>
      <c r="AE22" s="6"/>
      <c r="AG22" s="5">
        <v>7523</v>
      </c>
      <c r="AH22" s="10">
        <f>'[2]Equil Ks'!$K$10</f>
        <v>16.073872546871044</v>
      </c>
      <c r="AI22">
        <v>4</v>
      </c>
      <c r="AK22">
        <v>1</v>
      </c>
      <c r="AM22" s="6" t="s">
        <v>32</v>
      </c>
    </row>
    <row r="23" spans="1:39" x14ac:dyDescent="0.35">
      <c r="A23" s="5">
        <v>7610</v>
      </c>
      <c r="B23">
        <f>'[2]Equil Ks'!$K$53</f>
        <v>7.32</v>
      </c>
      <c r="D23">
        <v>1</v>
      </c>
      <c r="F23">
        <v>1</v>
      </c>
      <c r="G23" s="6" t="s">
        <v>34</v>
      </c>
      <c r="I23" s="5">
        <v>7610</v>
      </c>
      <c r="J23">
        <f>'[2]Equil Ks'!$K$48</f>
        <v>6.15</v>
      </c>
      <c r="L23">
        <v>1</v>
      </c>
      <c r="N23">
        <v>1</v>
      </c>
      <c r="O23" s="6" t="s">
        <v>35</v>
      </c>
      <c r="Q23" s="5">
        <v>7610</v>
      </c>
      <c r="R23">
        <f>'[2]Equil Ks'!$K$45</f>
        <v>5.160000000000001</v>
      </c>
      <c r="T23">
        <v>1</v>
      </c>
      <c r="V23">
        <v>1</v>
      </c>
      <c r="W23" s="6" t="s">
        <v>36</v>
      </c>
      <c r="Y23" s="5" t="s">
        <v>37</v>
      </c>
      <c r="AE23" s="6"/>
      <c r="AG23" s="5">
        <v>7610</v>
      </c>
      <c r="AH23">
        <f>'[2]Equil Ks'!$K$45</f>
        <v>5.160000000000001</v>
      </c>
      <c r="AJ23">
        <v>1</v>
      </c>
      <c r="AL23">
        <v>1</v>
      </c>
      <c r="AM23" s="6" t="s">
        <v>36</v>
      </c>
    </row>
    <row r="24" spans="1:39" ht="15" thickBot="1" x14ac:dyDescent="0.4">
      <c r="A24" s="5">
        <v>7611</v>
      </c>
      <c r="B24">
        <f>'[2]Equil Ks'!$K$55</f>
        <v>13.500000000000002</v>
      </c>
      <c r="D24">
        <v>1</v>
      </c>
      <c r="F24">
        <v>2</v>
      </c>
      <c r="G24" s="6" t="s">
        <v>38</v>
      </c>
      <c r="I24" s="5">
        <v>7611</v>
      </c>
      <c r="J24">
        <f>'[2]Equil Ks'!$K$50</f>
        <v>11.120000000000001</v>
      </c>
      <c r="L24">
        <v>1</v>
      </c>
      <c r="N24">
        <v>2</v>
      </c>
      <c r="O24" s="6" t="s">
        <v>39</v>
      </c>
      <c r="Q24" s="5">
        <v>7611</v>
      </c>
      <c r="R24" s="10">
        <f>'[2]Equil Ks'!$K$46</f>
        <v>8.4359150312473616</v>
      </c>
      <c r="T24">
        <v>1</v>
      </c>
      <c r="V24">
        <v>2</v>
      </c>
      <c r="W24" s="6" t="s">
        <v>40</v>
      </c>
      <c r="Y24" s="11">
        <v>20750</v>
      </c>
      <c r="Z24" s="12">
        <f>-'[2]Equil Ks'!$K$77</f>
        <v>-12.894000000000002</v>
      </c>
      <c r="AA24" s="12">
        <v>-2</v>
      </c>
      <c r="AB24" s="12">
        <v>1</v>
      </c>
      <c r="AC24" s="12"/>
      <c r="AD24" s="12" t="s">
        <v>41</v>
      </c>
      <c r="AE24" s="13"/>
      <c r="AG24" s="5">
        <v>7611</v>
      </c>
      <c r="AH24" s="10">
        <f>'[2]Equil Ks'!$K$46</f>
        <v>8.4359150312473616</v>
      </c>
      <c r="AJ24">
        <v>1</v>
      </c>
      <c r="AL24">
        <v>2</v>
      </c>
      <c r="AM24" s="6" t="s">
        <v>40</v>
      </c>
    </row>
    <row r="25" spans="1:39" x14ac:dyDescent="0.35">
      <c r="A25" s="5">
        <v>7612</v>
      </c>
      <c r="B25">
        <f>'[2]Equil Ks'!$K$56</f>
        <v>17.61</v>
      </c>
      <c r="D25">
        <v>1</v>
      </c>
      <c r="F25">
        <v>3</v>
      </c>
      <c r="G25" s="6" t="s">
        <v>42</v>
      </c>
      <c r="I25" s="5">
        <v>7612</v>
      </c>
      <c r="J25">
        <f>'[2]Equil Ks'!$K$51</f>
        <v>14.600000000000001</v>
      </c>
      <c r="L25">
        <v>1</v>
      </c>
      <c r="N25">
        <v>3</v>
      </c>
      <c r="O25" s="6" t="s">
        <v>43</v>
      </c>
      <c r="Q25" s="5">
        <v>7620</v>
      </c>
      <c r="R25">
        <f>'[2]Equil Ks'!$K$21</f>
        <v>4.266</v>
      </c>
      <c r="S25">
        <v>1</v>
      </c>
      <c r="V25">
        <v>1</v>
      </c>
      <c r="W25" s="6" t="s">
        <v>44</v>
      </c>
      <c r="AG25" s="5">
        <v>7620</v>
      </c>
      <c r="AH25">
        <f>'[2]Equil Ks'!$K$21</f>
        <v>4.266</v>
      </c>
      <c r="AI25">
        <v>1</v>
      </c>
      <c r="AL25">
        <v>1</v>
      </c>
      <c r="AM25" s="6" t="s">
        <v>44</v>
      </c>
    </row>
    <row r="26" spans="1:39" x14ac:dyDescent="0.35">
      <c r="A26" s="5">
        <v>7620</v>
      </c>
      <c r="B26">
        <f>'[2]Equil Ks'!$K$27</f>
        <v>9.9280000000000008</v>
      </c>
      <c r="C26">
        <v>1</v>
      </c>
      <c r="F26">
        <v>1</v>
      </c>
      <c r="G26" s="6" t="s">
        <v>45</v>
      </c>
      <c r="I26" s="5">
        <v>7620</v>
      </c>
      <c r="J26">
        <f>'[2]Equil Ks'!$K$24</f>
        <v>9.7780000000000022</v>
      </c>
      <c r="K26">
        <v>1</v>
      </c>
      <c r="N26">
        <v>1</v>
      </c>
      <c r="O26" s="6" t="s">
        <v>46</v>
      </c>
      <c r="Q26" s="5">
        <v>7621</v>
      </c>
      <c r="R26">
        <f>'[2]Equil Ks'!$K$20</f>
        <v>5.516</v>
      </c>
      <c r="S26">
        <v>2</v>
      </c>
      <c r="V26">
        <v>1</v>
      </c>
      <c r="W26" s="6" t="s">
        <v>47</v>
      </c>
      <c r="AG26" s="5">
        <v>7621</v>
      </c>
      <c r="AH26">
        <f>'[2]Equil Ks'!$K$20</f>
        <v>5.516</v>
      </c>
      <c r="AI26">
        <v>2</v>
      </c>
      <c r="AL26">
        <v>1</v>
      </c>
      <c r="AM26" s="6" t="s">
        <v>47</v>
      </c>
    </row>
    <row r="27" spans="1:39" x14ac:dyDescent="0.35">
      <c r="A27" s="5">
        <v>7621</v>
      </c>
      <c r="B27">
        <f>'[2]Equil Ks'!$K$26</f>
        <v>16.776</v>
      </c>
      <c r="C27">
        <v>2</v>
      </c>
      <c r="F27">
        <v>1</v>
      </c>
      <c r="G27" s="6" t="s">
        <v>48</v>
      </c>
      <c r="I27" s="5">
        <v>7621</v>
      </c>
      <c r="J27">
        <f>'[2]Equil Ks'!$K$23</f>
        <v>12.128000000000004</v>
      </c>
      <c r="K27">
        <v>2</v>
      </c>
      <c r="N27">
        <v>1</v>
      </c>
      <c r="O27" s="6" t="s">
        <v>49</v>
      </c>
      <c r="Q27" s="5">
        <v>13595</v>
      </c>
      <c r="R27">
        <f>'[2]Equil Ks'!$K$83</f>
        <v>-13.997</v>
      </c>
      <c r="S27">
        <v>-1</v>
      </c>
      <c r="T27">
        <v>0</v>
      </c>
      <c r="W27" s="6" t="s">
        <v>33</v>
      </c>
      <c r="AG27" s="5">
        <v>13595</v>
      </c>
      <c r="AH27">
        <f>'[2]Equil Ks'!$K$83</f>
        <v>-13.997</v>
      </c>
      <c r="AI27">
        <v>-1</v>
      </c>
      <c r="AJ27">
        <v>0</v>
      </c>
      <c r="AM27" s="6" t="s">
        <v>33</v>
      </c>
    </row>
    <row r="28" spans="1:39" x14ac:dyDescent="0.35">
      <c r="A28" s="5">
        <v>13595</v>
      </c>
      <c r="B28">
        <f>'[2]Equil Ks'!$K$83</f>
        <v>-13.997</v>
      </c>
      <c r="C28">
        <v>-1</v>
      </c>
      <c r="D28">
        <v>0</v>
      </c>
      <c r="G28" s="6" t="s">
        <v>33</v>
      </c>
      <c r="I28" s="5">
        <v>13595</v>
      </c>
      <c r="J28">
        <f>'[2]Equil Ks'!$K$83</f>
        <v>-13.997</v>
      </c>
      <c r="K28">
        <v>-1</v>
      </c>
      <c r="L28">
        <v>0</v>
      </c>
      <c r="O28" s="6" t="s">
        <v>33</v>
      </c>
      <c r="Q28" s="5"/>
      <c r="W28" s="6"/>
      <c r="AG28" s="5"/>
      <c r="AM28" s="6"/>
    </row>
    <row r="29" spans="1:39" x14ac:dyDescent="0.35">
      <c r="A29" s="5"/>
      <c r="G29" s="6"/>
      <c r="I29" s="5"/>
      <c r="O29" s="6"/>
      <c r="Q29" s="5" t="s">
        <v>37</v>
      </c>
      <c r="W29" s="6"/>
      <c r="AG29" s="5" t="s">
        <v>37</v>
      </c>
      <c r="AM29" s="6"/>
    </row>
    <row r="30" spans="1:39" ht="15" thickBot="1" x14ac:dyDescent="0.4">
      <c r="A30" s="5" t="s">
        <v>37</v>
      </c>
      <c r="G30" s="6"/>
      <c r="I30" s="5" t="s">
        <v>37</v>
      </c>
      <c r="O30" s="6"/>
      <c r="Q30" s="11">
        <v>20750</v>
      </c>
      <c r="R30" s="12">
        <f>-'[2]Equil Ks'!$K$77</f>
        <v>-12.894000000000002</v>
      </c>
      <c r="S30" s="12">
        <v>-2</v>
      </c>
      <c r="T30" s="12">
        <v>1</v>
      </c>
      <c r="U30" s="12"/>
      <c r="V30" s="12"/>
      <c r="W30" s="13" t="s">
        <v>41</v>
      </c>
      <c r="AG30" s="11">
        <v>20750</v>
      </c>
      <c r="AH30" s="12">
        <f>'[2]Equil Ks'!$K$77</f>
        <v>12.894000000000002</v>
      </c>
      <c r="AI30" s="12">
        <v>-2</v>
      </c>
      <c r="AJ30" s="12">
        <v>1</v>
      </c>
      <c r="AK30" s="12"/>
      <c r="AL30" s="12"/>
      <c r="AM30" s="13" t="s">
        <v>41</v>
      </c>
    </row>
    <row r="31" spans="1:39" ht="15" thickBot="1" x14ac:dyDescent="0.4">
      <c r="A31" s="11">
        <v>20750</v>
      </c>
      <c r="B31" s="12">
        <f>-'[2]Equil Ks'!$K$77</f>
        <v>-12.894000000000002</v>
      </c>
      <c r="C31" s="12">
        <v>-2</v>
      </c>
      <c r="D31" s="12">
        <v>1</v>
      </c>
      <c r="E31" s="12"/>
      <c r="F31" s="12"/>
      <c r="G31" s="13" t="s">
        <v>41</v>
      </c>
      <c r="I31" s="11">
        <v>20750</v>
      </c>
      <c r="J31" s="12">
        <f>-'[2]Equil Ks'!$K$77</f>
        <v>-12.894000000000002</v>
      </c>
      <c r="K31" s="12">
        <v>-2</v>
      </c>
      <c r="L31" s="12">
        <v>1</v>
      </c>
      <c r="M31" s="12"/>
      <c r="N31" s="12"/>
      <c r="O31" s="13" t="s">
        <v>41</v>
      </c>
    </row>
    <row r="33" spans="1:31" ht="15" thickBot="1" x14ac:dyDescent="0.4">
      <c r="A33" s="1" t="s">
        <v>50</v>
      </c>
      <c r="B33" s="1"/>
      <c r="C33" s="1"/>
      <c r="D33" s="1"/>
      <c r="E33" s="1"/>
      <c r="F33" s="1"/>
      <c r="G33" s="1"/>
      <c r="H33" s="1"/>
      <c r="I33" s="1" t="s">
        <v>51</v>
      </c>
      <c r="J33" s="1"/>
      <c r="K33" s="1"/>
      <c r="L33" s="1"/>
      <c r="M33" s="1"/>
      <c r="N33" s="1"/>
      <c r="O33" s="1"/>
      <c r="P33" s="1"/>
      <c r="Q33" s="1" t="s">
        <v>52</v>
      </c>
      <c r="R33" s="1"/>
      <c r="S33" s="1"/>
      <c r="T33" s="1"/>
      <c r="U33" s="1"/>
      <c r="V33" s="1"/>
      <c r="W33" s="1"/>
      <c r="X33" s="1"/>
      <c r="Y33" s="1" t="s">
        <v>53</v>
      </c>
      <c r="Z33" s="1"/>
      <c r="AA33" s="1"/>
      <c r="AB33" s="1"/>
      <c r="AC33" s="1"/>
      <c r="AD33" s="1"/>
      <c r="AE33" s="1"/>
    </row>
    <row r="34" spans="1:31" x14ac:dyDescent="0.35">
      <c r="A34" s="2" t="s">
        <v>5</v>
      </c>
      <c r="B34" s="3"/>
      <c r="C34" s="3"/>
      <c r="D34" s="3"/>
      <c r="E34" s="3"/>
      <c r="F34" s="3"/>
      <c r="G34" s="4"/>
      <c r="I34" s="2" t="s">
        <v>5</v>
      </c>
      <c r="J34" s="3"/>
      <c r="K34" s="3"/>
      <c r="L34" s="3"/>
      <c r="M34" s="3"/>
      <c r="N34" s="3"/>
      <c r="O34" s="4"/>
      <c r="Q34" s="2" t="s">
        <v>5</v>
      </c>
      <c r="R34" s="3"/>
      <c r="S34" s="3"/>
      <c r="T34" s="3"/>
      <c r="U34" s="3"/>
      <c r="V34" s="3"/>
      <c r="W34" s="4"/>
      <c r="Y34" s="2" t="s">
        <v>5</v>
      </c>
      <c r="Z34" s="3"/>
      <c r="AA34" s="3"/>
      <c r="AB34" s="3"/>
      <c r="AC34" s="3"/>
      <c r="AD34" s="3"/>
      <c r="AE34" s="4"/>
    </row>
    <row r="35" spans="1:31" x14ac:dyDescent="0.35">
      <c r="A35" s="5" t="s">
        <v>6</v>
      </c>
      <c r="B35" t="s">
        <v>7</v>
      </c>
      <c r="C35" t="s">
        <v>8</v>
      </c>
      <c r="D35" t="s">
        <v>9</v>
      </c>
      <c r="E35" t="s">
        <v>10</v>
      </c>
      <c r="G35" s="6"/>
      <c r="I35" s="5" t="s">
        <v>6</v>
      </c>
      <c r="J35" t="s">
        <v>7</v>
      </c>
      <c r="K35" t="s">
        <v>8</v>
      </c>
      <c r="L35" t="s">
        <v>9</v>
      </c>
      <c r="M35" t="s">
        <v>10</v>
      </c>
      <c r="O35" s="6"/>
      <c r="Q35" s="5" t="s">
        <v>6</v>
      </c>
      <c r="R35" t="s">
        <v>7</v>
      </c>
      <c r="S35" t="s">
        <v>8</v>
      </c>
      <c r="T35" t="s">
        <v>9</v>
      </c>
      <c r="U35" t="s">
        <v>10</v>
      </c>
      <c r="W35" s="6"/>
      <c r="Y35" s="5" t="s">
        <v>6</v>
      </c>
      <c r="Z35" t="s">
        <v>7</v>
      </c>
      <c r="AA35" t="s">
        <v>8</v>
      </c>
      <c r="AB35" t="s">
        <v>9</v>
      </c>
      <c r="AC35" t="s">
        <v>10</v>
      </c>
      <c r="AE35" s="6"/>
    </row>
    <row r="36" spans="1:31" x14ac:dyDescent="0.35">
      <c r="A36" s="5">
        <v>50</v>
      </c>
      <c r="B36">
        <v>-5</v>
      </c>
      <c r="C36" s="7">
        <v>9.9999999999999995E-8</v>
      </c>
      <c r="D36">
        <v>1</v>
      </c>
      <c r="E36" t="s">
        <v>11</v>
      </c>
      <c r="G36" s="6"/>
      <c r="I36" s="5">
        <v>50</v>
      </c>
      <c r="J36">
        <v>-5</v>
      </c>
      <c r="K36" s="7">
        <v>9.9999999999999995E-8</v>
      </c>
      <c r="L36">
        <v>1</v>
      </c>
      <c r="M36" t="s">
        <v>11</v>
      </c>
      <c r="O36" s="6"/>
      <c r="Q36" s="5">
        <v>50</v>
      </c>
      <c r="R36">
        <v>-5</v>
      </c>
      <c r="S36" s="7">
        <v>9.9999999999999995E-8</v>
      </c>
      <c r="T36">
        <v>1</v>
      </c>
      <c r="U36" t="s">
        <v>11</v>
      </c>
      <c r="W36" s="6"/>
      <c r="Y36" s="5">
        <v>50</v>
      </c>
      <c r="Z36">
        <v>-5</v>
      </c>
      <c r="AA36" s="7">
        <v>9.9999999999999995E-8</v>
      </c>
      <c r="AB36">
        <v>1</v>
      </c>
      <c r="AC36" t="s">
        <v>11</v>
      </c>
      <c r="AE36" s="6"/>
    </row>
    <row r="37" spans="1:31" x14ac:dyDescent="0.35">
      <c r="A37" s="5">
        <v>13</v>
      </c>
      <c r="B37">
        <v>-8</v>
      </c>
      <c r="C37" s="7">
        <v>5.0000000000000002E-5</v>
      </c>
      <c r="D37">
        <v>2</v>
      </c>
      <c r="E37" t="s">
        <v>12</v>
      </c>
      <c r="G37" s="6"/>
      <c r="I37" s="5">
        <v>13</v>
      </c>
      <c r="J37">
        <v>-8</v>
      </c>
      <c r="K37" s="7">
        <v>5.0000000000000002E-5</v>
      </c>
      <c r="L37">
        <v>2</v>
      </c>
      <c r="M37" t="s">
        <v>12</v>
      </c>
      <c r="O37" s="6"/>
      <c r="Q37" s="5">
        <v>13</v>
      </c>
      <c r="R37">
        <v>-8</v>
      </c>
      <c r="S37" s="7">
        <v>5.0000000000000002E-5</v>
      </c>
      <c r="T37">
        <v>2</v>
      </c>
      <c r="U37" t="s">
        <v>12</v>
      </c>
      <c r="W37" s="6"/>
      <c r="Y37" s="5">
        <v>13</v>
      </c>
      <c r="Z37">
        <v>-8</v>
      </c>
      <c r="AA37" s="7">
        <v>5.0000000000000002E-5</v>
      </c>
      <c r="AB37">
        <v>2</v>
      </c>
      <c r="AC37" t="s">
        <v>12</v>
      </c>
      <c r="AE37" s="6"/>
    </row>
    <row r="38" spans="1:31" x14ac:dyDescent="0.35">
      <c r="A38" s="5">
        <v>149</v>
      </c>
      <c r="B38">
        <v>-7</v>
      </c>
      <c r="C38" s="7">
        <v>7.4999999999999993E-5</v>
      </c>
      <c r="D38">
        <v>-2</v>
      </c>
      <c r="E38" t="s">
        <v>54</v>
      </c>
      <c r="G38" s="6"/>
      <c r="I38" s="5">
        <v>149</v>
      </c>
      <c r="J38">
        <v>-7</v>
      </c>
      <c r="K38" s="7">
        <v>7.4999999999999993E-5</v>
      </c>
      <c r="L38">
        <v>-2</v>
      </c>
      <c r="M38" t="s">
        <v>54</v>
      </c>
      <c r="O38" s="6"/>
      <c r="Q38" s="5">
        <v>149</v>
      </c>
      <c r="R38">
        <v>-7</v>
      </c>
      <c r="S38" s="7">
        <v>7.4999999999999993E-5</v>
      </c>
      <c r="T38">
        <v>-2</v>
      </c>
      <c r="U38" t="s">
        <v>54</v>
      </c>
      <c r="W38" s="6"/>
      <c r="Y38" s="5">
        <v>149</v>
      </c>
      <c r="Z38">
        <v>-7</v>
      </c>
      <c r="AA38" s="7">
        <v>7.4999999999999993E-5</v>
      </c>
      <c r="AB38">
        <v>-2</v>
      </c>
      <c r="AC38" t="s">
        <v>54</v>
      </c>
      <c r="AE38" s="6"/>
    </row>
    <row r="39" spans="1:31" x14ac:dyDescent="0.35">
      <c r="A39" s="5">
        <v>121</v>
      </c>
      <c r="B39">
        <v>-12</v>
      </c>
      <c r="C39" s="7">
        <v>5.0000000000000001E-4</v>
      </c>
      <c r="D39">
        <v>0</v>
      </c>
      <c r="E39" t="s">
        <v>14</v>
      </c>
      <c r="G39" s="6"/>
      <c r="I39" s="5">
        <v>124</v>
      </c>
      <c r="J39">
        <v>-12</v>
      </c>
      <c r="K39" s="7">
        <v>5.0000000000000001E-4</v>
      </c>
      <c r="L39">
        <v>-1</v>
      </c>
      <c r="M39" t="s">
        <v>15</v>
      </c>
      <c r="O39" s="6"/>
      <c r="Q39" s="5">
        <v>118</v>
      </c>
      <c r="R39">
        <v>-12</v>
      </c>
      <c r="S39" s="7">
        <v>5.0000000000000001E-4</v>
      </c>
      <c r="T39">
        <v>-2</v>
      </c>
      <c r="U39" t="s">
        <v>16</v>
      </c>
      <c r="W39" s="6"/>
      <c r="Y39" s="5"/>
      <c r="AA39" s="7"/>
      <c r="AE39" s="6"/>
    </row>
    <row r="40" spans="1:31" x14ac:dyDescent="0.35">
      <c r="A40" s="5"/>
      <c r="G40" s="6"/>
      <c r="I40" s="5"/>
      <c r="O40" s="6"/>
      <c r="Q40" s="5"/>
      <c r="W40" s="6"/>
      <c r="Y40" s="5" t="s">
        <v>17</v>
      </c>
      <c r="AE40" s="6"/>
    </row>
    <row r="41" spans="1:31" x14ac:dyDescent="0.35">
      <c r="A41" s="5" t="s">
        <v>17</v>
      </c>
      <c r="G41" s="6"/>
      <c r="I41" s="5" t="s">
        <v>17</v>
      </c>
      <c r="O41" s="6"/>
      <c r="Q41" s="5" t="s">
        <v>17</v>
      </c>
      <c r="W41" s="6"/>
      <c r="Y41" s="5" t="s">
        <v>6</v>
      </c>
      <c r="Z41" t="s">
        <v>18</v>
      </c>
      <c r="AA41">
        <v>50</v>
      </c>
      <c r="AB41">
        <v>13</v>
      </c>
      <c r="AC41">
        <v>149</v>
      </c>
      <c r="AD41" t="s">
        <v>10</v>
      </c>
      <c r="AE41" s="6"/>
    </row>
    <row r="42" spans="1:31" x14ac:dyDescent="0.35">
      <c r="A42" s="5" t="s">
        <v>6</v>
      </c>
      <c r="B42" t="s">
        <v>18</v>
      </c>
      <c r="C42">
        <v>50</v>
      </c>
      <c r="D42">
        <v>13</v>
      </c>
      <c r="E42">
        <v>149</v>
      </c>
      <c r="F42">
        <v>121</v>
      </c>
      <c r="G42" s="6" t="s">
        <v>10</v>
      </c>
      <c r="I42" s="5" t="s">
        <v>6</v>
      </c>
      <c r="J42" t="s">
        <v>18</v>
      </c>
      <c r="K42">
        <v>50</v>
      </c>
      <c r="L42">
        <v>13</v>
      </c>
      <c r="M42">
        <v>149</v>
      </c>
      <c r="N42">
        <v>124</v>
      </c>
      <c r="O42" s="6" t="s">
        <v>10</v>
      </c>
      <c r="Q42" s="5" t="s">
        <v>6</v>
      </c>
      <c r="R42" t="s">
        <v>18</v>
      </c>
      <c r="S42">
        <v>50</v>
      </c>
      <c r="T42">
        <v>13</v>
      </c>
      <c r="U42">
        <v>149</v>
      </c>
      <c r="V42">
        <v>118</v>
      </c>
      <c r="W42" s="6" t="s">
        <v>10</v>
      </c>
      <c r="Y42" s="5">
        <v>7590</v>
      </c>
      <c r="Z42">
        <f>'[2]Equil Ks'!$K$78</f>
        <v>-9.897000000000002</v>
      </c>
      <c r="AA42">
        <v>-1</v>
      </c>
      <c r="AB42">
        <v>1</v>
      </c>
      <c r="AD42" t="s">
        <v>19</v>
      </c>
      <c r="AE42" s="6"/>
    </row>
    <row r="43" spans="1:31" x14ac:dyDescent="0.35">
      <c r="A43" s="5">
        <v>7590</v>
      </c>
      <c r="B43">
        <f>'[2]Equil Ks'!$K$78</f>
        <v>-9.897000000000002</v>
      </c>
      <c r="C43">
        <v>-1</v>
      </c>
      <c r="D43">
        <v>1</v>
      </c>
      <c r="G43" s="6" t="s">
        <v>19</v>
      </c>
      <c r="I43" s="5">
        <v>7590</v>
      </c>
      <c r="J43">
        <f>'[2]Equil Ks'!$K$78</f>
        <v>-9.897000000000002</v>
      </c>
      <c r="K43">
        <v>-1</v>
      </c>
      <c r="L43">
        <v>1</v>
      </c>
      <c r="O43" s="6" t="s">
        <v>19</v>
      </c>
      <c r="Q43" s="5">
        <v>7590</v>
      </c>
      <c r="R43">
        <f>'[2]Equil Ks'!$K$78</f>
        <v>-9.897000000000002</v>
      </c>
      <c r="S43">
        <v>-1</v>
      </c>
      <c r="T43">
        <v>1</v>
      </c>
      <c r="W43" s="6" t="s">
        <v>19</v>
      </c>
      <c r="Y43" s="5">
        <v>7491</v>
      </c>
      <c r="Z43" s="8">
        <f>'[2]Equil Ks'!$K$79</f>
        <v>-18.994000000000003</v>
      </c>
      <c r="AA43">
        <v>-2</v>
      </c>
      <c r="AB43">
        <v>1</v>
      </c>
      <c r="AD43" t="s">
        <v>20</v>
      </c>
      <c r="AE43" s="6"/>
    </row>
    <row r="44" spans="1:31" x14ac:dyDescent="0.35">
      <c r="A44" s="5">
        <v>7491</v>
      </c>
      <c r="B44" s="8">
        <f>'[2]Equil Ks'!$K$79</f>
        <v>-18.994000000000003</v>
      </c>
      <c r="C44">
        <v>-2</v>
      </c>
      <c r="D44">
        <v>1</v>
      </c>
      <c r="G44" s="6" t="s">
        <v>20</v>
      </c>
      <c r="I44" s="5">
        <v>7491</v>
      </c>
      <c r="J44" s="8">
        <f>'[2]Equil Ks'!$K$79</f>
        <v>-18.994000000000003</v>
      </c>
      <c r="K44">
        <v>-2</v>
      </c>
      <c r="L44">
        <v>1</v>
      </c>
      <c r="O44" s="6" t="s">
        <v>20</v>
      </c>
      <c r="Q44" s="5">
        <v>7491</v>
      </c>
      <c r="R44" s="8">
        <f>'[2]Equil Ks'!$K$79</f>
        <v>-18.994000000000003</v>
      </c>
      <c r="S44">
        <v>-2</v>
      </c>
      <c r="T44">
        <v>1</v>
      </c>
      <c r="W44" s="6" t="s">
        <v>20</v>
      </c>
      <c r="Y44" s="5">
        <v>7492</v>
      </c>
      <c r="Z44" s="8">
        <f>'[2]Equil Ks'!$K$80</f>
        <v>-29.991000000000007</v>
      </c>
      <c r="AA44">
        <v>-3</v>
      </c>
      <c r="AB44">
        <v>1</v>
      </c>
      <c r="AD44" t="s">
        <v>21</v>
      </c>
      <c r="AE44" s="6"/>
    </row>
    <row r="45" spans="1:31" x14ac:dyDescent="0.35">
      <c r="A45" s="5">
        <v>7492</v>
      </c>
      <c r="B45" s="8">
        <f>'[2]Equil Ks'!$K$80</f>
        <v>-29.991000000000007</v>
      </c>
      <c r="C45">
        <v>-3</v>
      </c>
      <c r="D45">
        <v>1</v>
      </c>
      <c r="G45" s="6" t="s">
        <v>21</v>
      </c>
      <c r="I45" s="5">
        <v>7492</v>
      </c>
      <c r="J45" s="8">
        <f>'[2]Equil Ks'!$K$80</f>
        <v>-29.991000000000007</v>
      </c>
      <c r="K45">
        <v>-3</v>
      </c>
      <c r="L45">
        <v>1</v>
      </c>
      <c r="O45" s="6" t="s">
        <v>21</v>
      </c>
      <c r="Q45" s="5">
        <v>7492</v>
      </c>
      <c r="R45" s="8">
        <f>'[2]Equil Ks'!$K$80</f>
        <v>-29.991000000000007</v>
      </c>
      <c r="S45">
        <v>-3</v>
      </c>
      <c r="T45">
        <v>1</v>
      </c>
      <c r="W45" s="6" t="s">
        <v>21</v>
      </c>
      <c r="Y45" s="5">
        <v>7494</v>
      </c>
      <c r="Z45" s="9">
        <f>'[2]Equil Ks'!$K$81</f>
        <v>-27.687999999999999</v>
      </c>
      <c r="AA45">
        <v>-4</v>
      </c>
      <c r="AB45">
        <v>4</v>
      </c>
      <c r="AD45" t="s">
        <v>22</v>
      </c>
      <c r="AE45" s="6"/>
    </row>
    <row r="46" spans="1:31" x14ac:dyDescent="0.35">
      <c r="A46" s="5">
        <v>7494</v>
      </c>
      <c r="B46" s="9">
        <f>'[2]Equil Ks'!$K$81</f>
        <v>-27.687999999999999</v>
      </c>
      <c r="C46">
        <v>-4</v>
      </c>
      <c r="D46">
        <v>4</v>
      </c>
      <c r="G46" s="6" t="s">
        <v>22</v>
      </c>
      <c r="I46" s="5">
        <v>7494</v>
      </c>
      <c r="J46" s="9">
        <f>'[2]Equil Ks'!$K$81</f>
        <v>-27.687999999999999</v>
      </c>
      <c r="K46">
        <v>-4</v>
      </c>
      <c r="L46">
        <v>4</v>
      </c>
      <c r="O46" s="6" t="s">
        <v>22</v>
      </c>
      <c r="Q46" s="5">
        <v>7494</v>
      </c>
      <c r="R46" s="9">
        <f>'[2]Equil Ks'!$K$81</f>
        <v>-27.687999999999999</v>
      </c>
      <c r="S46">
        <v>-4</v>
      </c>
      <c r="T46">
        <v>4</v>
      </c>
      <c r="W46" s="6" t="s">
        <v>22</v>
      </c>
      <c r="Y46" s="5">
        <v>7510</v>
      </c>
      <c r="Z46" s="10">
        <f>'[2]Equil Ks'!$K$42</f>
        <v>14.455915031247361</v>
      </c>
      <c r="AB46">
        <v>1</v>
      </c>
      <c r="AC46">
        <v>1</v>
      </c>
      <c r="AD46" t="s">
        <v>55</v>
      </c>
      <c r="AE46" s="6"/>
    </row>
    <row r="47" spans="1:31" x14ac:dyDescent="0.35">
      <c r="A47" s="5">
        <v>7510</v>
      </c>
      <c r="B47" s="10">
        <f>'[2]Equil Ks'!$K$42</f>
        <v>14.455915031247361</v>
      </c>
      <c r="D47">
        <v>1</v>
      </c>
      <c r="E47">
        <v>1</v>
      </c>
      <c r="G47" s="6" t="s">
        <v>55</v>
      </c>
      <c r="I47" s="5">
        <v>7510</v>
      </c>
      <c r="J47" s="10">
        <f>'[2]Equil Ks'!$K$42</f>
        <v>14.455915031247361</v>
      </c>
      <c r="L47">
        <v>1</v>
      </c>
      <c r="M47">
        <v>1</v>
      </c>
      <c r="O47" s="6" t="s">
        <v>55</v>
      </c>
      <c r="Q47" s="5">
        <v>7510</v>
      </c>
      <c r="R47" s="10">
        <f>'[2]Equil Ks'!$K$42</f>
        <v>14.455915031247361</v>
      </c>
      <c r="T47">
        <v>1</v>
      </c>
      <c r="U47">
        <v>1</v>
      </c>
      <c r="W47" s="6" t="s">
        <v>55</v>
      </c>
      <c r="Y47" s="5">
        <v>7512</v>
      </c>
      <c r="Z47" s="10">
        <f>'[2]Equil Ks'!$K$43</f>
        <v>3.3819362734355209</v>
      </c>
      <c r="AA47">
        <v>-1</v>
      </c>
      <c r="AB47">
        <v>1</v>
      </c>
      <c r="AC47">
        <v>1</v>
      </c>
      <c r="AD47" s="6" t="s">
        <v>56</v>
      </c>
      <c r="AE47" s="6"/>
    </row>
    <row r="48" spans="1:31" x14ac:dyDescent="0.35">
      <c r="A48" s="5">
        <v>7512</v>
      </c>
      <c r="B48" s="10">
        <f>'[2]Equil Ks'!$K$43</f>
        <v>3.3819362734355209</v>
      </c>
      <c r="C48">
        <v>-1</v>
      </c>
      <c r="D48">
        <v>1</v>
      </c>
      <c r="E48">
        <v>1</v>
      </c>
      <c r="G48" s="6" t="s">
        <v>56</v>
      </c>
      <c r="I48" s="5">
        <v>7512</v>
      </c>
      <c r="J48" s="10">
        <f>'[2]Equil Ks'!$K$43</f>
        <v>3.3819362734355209</v>
      </c>
      <c r="K48">
        <v>-1</v>
      </c>
      <c r="L48">
        <v>1</v>
      </c>
      <c r="M48">
        <v>1</v>
      </c>
      <c r="O48" s="6" t="s">
        <v>56</v>
      </c>
      <c r="Q48" s="5">
        <v>7512</v>
      </c>
      <c r="R48" s="10">
        <f>'[2]Equil Ks'!$K$43</f>
        <v>3.3819362734355209</v>
      </c>
      <c r="S48">
        <v>-1</v>
      </c>
      <c r="T48">
        <v>1</v>
      </c>
      <c r="U48">
        <v>1</v>
      </c>
      <c r="W48" s="6" t="s">
        <v>56</v>
      </c>
      <c r="Y48" s="5">
        <v>7520</v>
      </c>
      <c r="Z48" s="10">
        <f>'[2]Equil Ks'!$K$18</f>
        <v>10.037957515623681</v>
      </c>
      <c r="AA48">
        <v>1</v>
      </c>
      <c r="AC48">
        <v>1</v>
      </c>
      <c r="AD48" s="6" t="s">
        <v>57</v>
      </c>
      <c r="AE48" s="6"/>
    </row>
    <row r="49" spans="1:31" x14ac:dyDescent="0.35">
      <c r="A49" s="5">
        <v>7513</v>
      </c>
      <c r="B49" s="10">
        <f>'[2]Equil Ks'!$K$64</f>
        <v>19.5668418431795</v>
      </c>
      <c r="D49">
        <v>1</v>
      </c>
      <c r="E49">
        <v>1</v>
      </c>
      <c r="F49">
        <v>1</v>
      </c>
      <c r="G49" s="6" t="s">
        <v>58</v>
      </c>
      <c r="I49" s="5">
        <v>7513</v>
      </c>
      <c r="J49" s="10">
        <f>'[2]Equil Ks'!$K$63</f>
        <v>17.602387545116009</v>
      </c>
      <c r="L49">
        <v>1</v>
      </c>
      <c r="M49">
        <v>1</v>
      </c>
      <c r="N49">
        <v>1</v>
      </c>
      <c r="O49" s="6" t="s">
        <v>59</v>
      </c>
      <c r="Q49" s="5">
        <v>7513</v>
      </c>
      <c r="R49" s="10">
        <f>'[2]Equil Ks'!K62</f>
        <v>15.637933247052516</v>
      </c>
      <c r="T49">
        <v>1</v>
      </c>
      <c r="U49">
        <v>1</v>
      </c>
      <c r="V49">
        <v>1</v>
      </c>
      <c r="W49" s="6" t="s">
        <v>60</v>
      </c>
      <c r="Y49" s="5">
        <v>7521</v>
      </c>
      <c r="Z49" s="10">
        <f>'[2]Equil Ks'!$K$17</f>
        <v>16.801936273435523</v>
      </c>
      <c r="AA49">
        <v>2</v>
      </c>
      <c r="AC49">
        <v>1</v>
      </c>
      <c r="AD49" s="6" t="s">
        <v>61</v>
      </c>
      <c r="AE49" s="6"/>
    </row>
    <row r="50" spans="1:31" x14ac:dyDescent="0.35">
      <c r="A50" s="5">
        <v>7520</v>
      </c>
      <c r="B50" s="10">
        <f>'[2]Equil Ks'!$K$18</f>
        <v>10.037957515623681</v>
      </c>
      <c r="C50">
        <v>1</v>
      </c>
      <c r="E50">
        <v>1</v>
      </c>
      <c r="G50" s="6" t="s">
        <v>57</v>
      </c>
      <c r="I50" s="5">
        <v>7520</v>
      </c>
      <c r="J50" s="10">
        <f>'[2]Equil Ks'!$K$18</f>
        <v>10.037957515623681</v>
      </c>
      <c r="K50">
        <v>1</v>
      </c>
      <c r="M50">
        <v>1</v>
      </c>
      <c r="O50" s="6" t="s">
        <v>57</v>
      </c>
      <c r="Q50" s="5">
        <v>7520</v>
      </c>
      <c r="R50" s="10">
        <f>'[2]Equil Ks'!$K$18</f>
        <v>10.037957515623681</v>
      </c>
      <c r="S50">
        <v>1</v>
      </c>
      <c r="U50">
        <v>1</v>
      </c>
      <c r="W50" s="6" t="s">
        <v>57</v>
      </c>
      <c r="Y50" s="5">
        <v>7522</v>
      </c>
      <c r="Z50" s="10">
        <f>'[2]Equil Ks'!$K$16</f>
        <v>18.921936273435524</v>
      </c>
      <c r="AA50">
        <v>3</v>
      </c>
      <c r="AC50">
        <v>1</v>
      </c>
      <c r="AD50" s="6" t="s">
        <v>62</v>
      </c>
      <c r="AE50" s="6"/>
    </row>
    <row r="51" spans="1:31" x14ac:dyDescent="0.35">
      <c r="A51" s="5">
        <v>7521</v>
      </c>
      <c r="B51" s="10">
        <f>'[2]Equil Ks'!$K$17</f>
        <v>16.801936273435523</v>
      </c>
      <c r="C51">
        <v>2</v>
      </c>
      <c r="E51">
        <v>1</v>
      </c>
      <c r="G51" s="6" t="s">
        <v>61</v>
      </c>
      <c r="I51" s="5">
        <v>7521</v>
      </c>
      <c r="J51" s="10">
        <f>'[2]Equil Ks'!$K$17</f>
        <v>16.801936273435523</v>
      </c>
      <c r="K51">
        <v>2</v>
      </c>
      <c r="M51">
        <v>1</v>
      </c>
      <c r="O51" s="6" t="s">
        <v>61</v>
      </c>
      <c r="Q51" s="5">
        <v>7521</v>
      </c>
      <c r="R51" s="10">
        <f>'[2]Equil Ks'!$K$17</f>
        <v>16.801936273435523</v>
      </c>
      <c r="S51">
        <v>2</v>
      </c>
      <c r="U51">
        <v>1</v>
      </c>
      <c r="W51" s="6" t="s">
        <v>61</v>
      </c>
      <c r="Y51" s="5">
        <v>7523</v>
      </c>
      <c r="Z51" s="10">
        <f>'[2]Equil Ks'!$K$15</f>
        <v>20.007957515623684</v>
      </c>
      <c r="AA51">
        <v>4</v>
      </c>
      <c r="AC51">
        <v>1</v>
      </c>
      <c r="AD51" s="6" t="s">
        <v>63</v>
      </c>
      <c r="AE51" s="6"/>
    </row>
    <row r="52" spans="1:31" x14ac:dyDescent="0.35">
      <c r="A52" s="5">
        <v>7522</v>
      </c>
      <c r="B52" s="10">
        <f>'[2]Equil Ks'!$K$16</f>
        <v>18.921936273435524</v>
      </c>
      <c r="C52">
        <v>3</v>
      </c>
      <c r="E52">
        <v>1</v>
      </c>
      <c r="G52" s="6" t="s">
        <v>62</v>
      </c>
      <c r="I52" s="5">
        <v>7522</v>
      </c>
      <c r="J52" s="10">
        <f>'[2]Equil Ks'!$K$16</f>
        <v>18.921936273435524</v>
      </c>
      <c r="K52">
        <v>3</v>
      </c>
      <c r="M52">
        <v>1</v>
      </c>
      <c r="O52" s="6" t="s">
        <v>62</v>
      </c>
      <c r="Q52" s="5">
        <v>7522</v>
      </c>
      <c r="R52" s="10">
        <f>'[2]Equil Ks'!$K$16</f>
        <v>18.921936273435524</v>
      </c>
      <c r="S52">
        <v>3</v>
      </c>
      <c r="U52">
        <v>1</v>
      </c>
      <c r="W52" s="6" t="s">
        <v>62</v>
      </c>
      <c r="Y52" s="5">
        <v>13595</v>
      </c>
      <c r="Z52">
        <f>'[2]Equil Ks'!$K$83</f>
        <v>-13.997</v>
      </c>
      <c r="AA52">
        <v>-1</v>
      </c>
      <c r="AB52">
        <v>0</v>
      </c>
      <c r="AD52" t="s">
        <v>33</v>
      </c>
      <c r="AE52" s="6"/>
    </row>
    <row r="53" spans="1:31" x14ac:dyDescent="0.35">
      <c r="A53" s="5">
        <v>7523</v>
      </c>
      <c r="B53" s="10">
        <f>'[2]Equil Ks'!$K$15</f>
        <v>20.007957515623684</v>
      </c>
      <c r="C53">
        <v>4</v>
      </c>
      <c r="E53">
        <v>1</v>
      </c>
      <c r="G53" s="6" t="s">
        <v>63</v>
      </c>
      <c r="I53" s="5">
        <v>7523</v>
      </c>
      <c r="J53" s="10">
        <f>'[2]Equil Ks'!$K$15</f>
        <v>20.007957515623684</v>
      </c>
      <c r="K53">
        <v>4</v>
      </c>
      <c r="M53">
        <v>1</v>
      </c>
      <c r="O53" s="6" t="s">
        <v>63</v>
      </c>
      <c r="Q53" s="5">
        <v>7523</v>
      </c>
      <c r="R53" s="10">
        <f>'[2]Equil Ks'!$K$15</f>
        <v>20.007957515623684</v>
      </c>
      <c r="S53">
        <v>4</v>
      </c>
      <c r="U53">
        <v>1</v>
      </c>
      <c r="W53" s="6" t="s">
        <v>63</v>
      </c>
      <c r="Y53" s="5"/>
      <c r="AE53" s="6"/>
    </row>
    <row r="54" spans="1:31" x14ac:dyDescent="0.35">
      <c r="A54" s="5">
        <v>7610</v>
      </c>
      <c r="B54">
        <f>'[2]Equil Ks'!$K$53</f>
        <v>7.32</v>
      </c>
      <c r="D54">
        <v>1</v>
      </c>
      <c r="F54">
        <v>1</v>
      </c>
      <c r="G54" s="6" t="s">
        <v>34</v>
      </c>
      <c r="I54" s="5">
        <v>7610</v>
      </c>
      <c r="J54">
        <f>'[2]Equil Ks'!$K$48</f>
        <v>6.15</v>
      </c>
      <c r="L54">
        <v>1</v>
      </c>
      <c r="N54">
        <v>1</v>
      </c>
      <c r="O54" s="6" t="s">
        <v>35</v>
      </c>
      <c r="Q54" s="5">
        <v>7610</v>
      </c>
      <c r="R54">
        <f>'[2]Equil Ks'!$K$45</f>
        <v>5.160000000000001</v>
      </c>
      <c r="T54">
        <v>1</v>
      </c>
      <c r="V54">
        <v>1</v>
      </c>
      <c r="W54" s="6" t="s">
        <v>36</v>
      </c>
      <c r="Y54" s="5" t="s">
        <v>37</v>
      </c>
      <c r="AE54" s="6"/>
    </row>
    <row r="55" spans="1:31" ht="15" thickBot="1" x14ac:dyDescent="0.4">
      <c r="A55" s="5">
        <v>7611</v>
      </c>
      <c r="B55">
        <f>'[2]Equil Ks'!$K$55</f>
        <v>13.500000000000002</v>
      </c>
      <c r="D55">
        <v>1</v>
      </c>
      <c r="F55">
        <v>2</v>
      </c>
      <c r="G55" s="6" t="s">
        <v>38</v>
      </c>
      <c r="I55" s="5">
        <v>7611</v>
      </c>
      <c r="J55">
        <f>'[2]Equil Ks'!$K$50</f>
        <v>11.120000000000001</v>
      </c>
      <c r="L55">
        <v>1</v>
      </c>
      <c r="N55">
        <v>2</v>
      </c>
      <c r="O55" s="6" t="s">
        <v>39</v>
      </c>
      <c r="Q55" s="5">
        <v>7611</v>
      </c>
      <c r="R55" s="10">
        <f>'[2]Equil Ks'!$K$46</f>
        <v>8.4359150312473616</v>
      </c>
      <c r="T55">
        <v>1</v>
      </c>
      <c r="V55">
        <v>2</v>
      </c>
      <c r="W55" s="6" t="s">
        <v>40</v>
      </c>
      <c r="Y55" s="11">
        <v>20750</v>
      </c>
      <c r="Z55" s="12">
        <f>-'[2]Equil Ks'!$K$77</f>
        <v>-12.894000000000002</v>
      </c>
      <c r="AA55" s="12">
        <v>-2</v>
      </c>
      <c r="AB55" s="12">
        <v>1</v>
      </c>
      <c r="AC55" s="12"/>
      <c r="AD55" s="12" t="s">
        <v>41</v>
      </c>
      <c r="AE55" s="13"/>
    </row>
    <row r="56" spans="1:31" x14ac:dyDescent="0.35">
      <c r="A56" s="5">
        <v>7612</v>
      </c>
      <c r="B56">
        <f>'[2]Equil Ks'!$K$56</f>
        <v>17.61</v>
      </c>
      <c r="D56">
        <v>1</v>
      </c>
      <c r="F56">
        <v>3</v>
      </c>
      <c r="G56" s="6" t="s">
        <v>42</v>
      </c>
      <c r="I56" s="5">
        <v>7612</v>
      </c>
      <c r="J56">
        <f>'[2]Equil Ks'!$K$51</f>
        <v>14.600000000000001</v>
      </c>
      <c r="L56">
        <v>1</v>
      </c>
      <c r="N56">
        <v>3</v>
      </c>
      <c r="O56" s="6" t="s">
        <v>43</v>
      </c>
      <c r="Q56" s="5">
        <v>7620</v>
      </c>
      <c r="R56">
        <f>'[2]Equil Ks'!$K$21</f>
        <v>4.266</v>
      </c>
      <c r="S56">
        <v>1</v>
      </c>
      <c r="V56">
        <v>1</v>
      </c>
      <c r="W56" s="6" t="s">
        <v>44</v>
      </c>
    </row>
    <row r="57" spans="1:31" x14ac:dyDescent="0.35">
      <c r="A57" s="5">
        <v>7620</v>
      </c>
      <c r="B57">
        <f>'[2]Equil Ks'!$K$27</f>
        <v>9.9280000000000008</v>
      </c>
      <c r="C57">
        <v>1</v>
      </c>
      <c r="F57">
        <v>1</v>
      </c>
      <c r="G57" s="6" t="s">
        <v>45</v>
      </c>
      <c r="I57" s="5">
        <v>7620</v>
      </c>
      <c r="J57">
        <f>'[2]Equil Ks'!$K$24</f>
        <v>9.7780000000000022</v>
      </c>
      <c r="K57">
        <v>1</v>
      </c>
      <c r="N57">
        <v>1</v>
      </c>
      <c r="O57" s="6" t="s">
        <v>46</v>
      </c>
      <c r="Q57" s="5">
        <v>7621</v>
      </c>
      <c r="R57">
        <f>'[2]Equil Ks'!$K$20</f>
        <v>5.516</v>
      </c>
      <c r="S57">
        <v>2</v>
      </c>
      <c r="V57">
        <v>1</v>
      </c>
      <c r="W57" s="6" t="s">
        <v>47</v>
      </c>
    </row>
    <row r="58" spans="1:31" x14ac:dyDescent="0.35">
      <c r="A58" s="5">
        <v>7621</v>
      </c>
      <c r="B58">
        <f>'[2]Equil Ks'!$K$26</f>
        <v>16.776</v>
      </c>
      <c r="C58">
        <v>2</v>
      </c>
      <c r="F58">
        <v>1</v>
      </c>
      <c r="G58" s="6" t="s">
        <v>48</v>
      </c>
      <c r="I58" s="5">
        <v>7621</v>
      </c>
      <c r="J58">
        <f>'[2]Equil Ks'!$K$23</f>
        <v>12.128000000000004</v>
      </c>
      <c r="K58">
        <v>2</v>
      </c>
      <c r="N58">
        <v>1</v>
      </c>
      <c r="O58" s="6" t="s">
        <v>49</v>
      </c>
      <c r="Q58" s="5">
        <v>13595</v>
      </c>
      <c r="R58">
        <f>'[2]Equil Ks'!$K$83</f>
        <v>-13.997</v>
      </c>
      <c r="S58">
        <v>-1</v>
      </c>
      <c r="T58">
        <v>0</v>
      </c>
      <c r="W58" s="6" t="s">
        <v>33</v>
      </c>
    </row>
    <row r="59" spans="1:31" x14ac:dyDescent="0.35">
      <c r="A59" s="5">
        <v>13595</v>
      </c>
      <c r="B59">
        <f>'[2]Equil Ks'!$K$83</f>
        <v>-13.997</v>
      </c>
      <c r="C59">
        <v>-1</v>
      </c>
      <c r="D59">
        <v>0</v>
      </c>
      <c r="G59" s="6" t="s">
        <v>33</v>
      </c>
      <c r="I59" s="5">
        <v>13595</v>
      </c>
      <c r="J59">
        <f>'[2]Equil Ks'!$K$83</f>
        <v>-13.997</v>
      </c>
      <c r="K59">
        <v>-1</v>
      </c>
      <c r="L59">
        <v>0</v>
      </c>
      <c r="O59" s="6" t="s">
        <v>33</v>
      </c>
      <c r="Q59" s="5"/>
      <c r="W59" s="6"/>
    </row>
    <row r="60" spans="1:31" x14ac:dyDescent="0.35">
      <c r="A60" s="5"/>
      <c r="G60" s="6"/>
      <c r="I60" s="5"/>
      <c r="O60" s="6"/>
      <c r="Q60" s="5" t="s">
        <v>37</v>
      </c>
      <c r="W60" s="6"/>
    </row>
    <row r="61" spans="1:31" ht="15" thickBot="1" x14ac:dyDescent="0.4">
      <c r="A61" s="5" t="s">
        <v>37</v>
      </c>
      <c r="G61" s="6"/>
      <c r="I61" s="5" t="s">
        <v>37</v>
      </c>
      <c r="O61" s="6"/>
      <c r="Q61" s="11">
        <v>20750</v>
      </c>
      <c r="R61" s="12">
        <f>-'[2]Equil Ks'!$K$77</f>
        <v>-12.894000000000002</v>
      </c>
      <c r="S61" s="12">
        <v>-2</v>
      </c>
      <c r="T61" s="12">
        <v>1</v>
      </c>
      <c r="U61" s="12"/>
      <c r="V61" s="12"/>
      <c r="W61" s="13" t="s">
        <v>41</v>
      </c>
    </row>
    <row r="62" spans="1:31" ht="15" thickBot="1" x14ac:dyDescent="0.4">
      <c r="A62" s="11">
        <v>20750</v>
      </c>
      <c r="B62" s="12">
        <f>-'[2]Equil Ks'!$K$77</f>
        <v>-12.894000000000002</v>
      </c>
      <c r="C62" s="12">
        <v>-2</v>
      </c>
      <c r="D62" s="12">
        <v>1</v>
      </c>
      <c r="E62" s="12"/>
      <c r="F62" s="12"/>
      <c r="G62" s="13" t="s">
        <v>41</v>
      </c>
      <c r="I62" s="11">
        <v>20750</v>
      </c>
      <c r="J62" s="12">
        <f>-'[2]Equil Ks'!$K$77</f>
        <v>-12.894000000000002</v>
      </c>
      <c r="K62" s="12">
        <v>-2</v>
      </c>
      <c r="L62" s="12">
        <v>1</v>
      </c>
      <c r="M62" s="12"/>
      <c r="N62" s="12"/>
      <c r="O62" s="13" t="s">
        <v>41</v>
      </c>
    </row>
    <row r="65" spans="1:12" x14ac:dyDescent="0.35">
      <c r="A65" s="1" t="s">
        <v>64</v>
      </c>
    </row>
    <row r="66" spans="1:12" ht="15" thickBot="1" x14ac:dyDescent="0.4"/>
    <row r="67" spans="1:12" x14ac:dyDescent="0.35">
      <c r="A67" s="2" t="s">
        <v>5</v>
      </c>
      <c r="B67" s="3"/>
      <c r="C67" s="3"/>
      <c r="D67" s="3"/>
      <c r="E67" s="4"/>
    </row>
    <row r="68" spans="1:12" x14ac:dyDescent="0.35">
      <c r="A68" s="5" t="s">
        <v>6</v>
      </c>
      <c r="B68" t="s">
        <v>7</v>
      </c>
      <c r="C68" t="s">
        <v>8</v>
      </c>
      <c r="D68" t="s">
        <v>9</v>
      </c>
      <c r="E68" s="6" t="s">
        <v>10</v>
      </c>
    </row>
    <row r="69" spans="1:12" x14ac:dyDescent="0.35">
      <c r="A69" s="5">
        <v>50</v>
      </c>
      <c r="B69">
        <v>-5</v>
      </c>
      <c r="C69" s="7">
        <v>9.9999999999999995E-8</v>
      </c>
      <c r="D69">
        <v>1</v>
      </c>
      <c r="E69" s="6" t="s">
        <v>11</v>
      </c>
    </row>
    <row r="70" spans="1:12" x14ac:dyDescent="0.35">
      <c r="A70" s="5">
        <v>128</v>
      </c>
      <c r="B70">
        <v>-8</v>
      </c>
      <c r="C70" s="7">
        <v>4.0000000000000002E-4</v>
      </c>
      <c r="D70">
        <v>-4</v>
      </c>
      <c r="E70" s="6" t="s">
        <v>65</v>
      </c>
    </row>
    <row r="71" spans="1:12" x14ac:dyDescent="0.35">
      <c r="A71" s="5"/>
      <c r="E71" s="6"/>
    </row>
    <row r="72" spans="1:12" x14ac:dyDescent="0.35">
      <c r="A72" s="5" t="s">
        <v>17</v>
      </c>
      <c r="E72" s="6"/>
    </row>
    <row r="73" spans="1:12" x14ac:dyDescent="0.35">
      <c r="A73" s="5" t="s">
        <v>6</v>
      </c>
      <c r="B73" t="s">
        <v>18</v>
      </c>
      <c r="C73">
        <v>50</v>
      </c>
      <c r="D73">
        <v>128</v>
      </c>
      <c r="E73" s="6" t="s">
        <v>10</v>
      </c>
    </row>
    <row r="74" spans="1:12" x14ac:dyDescent="0.35">
      <c r="A74" s="5">
        <v>7520</v>
      </c>
      <c r="B74" s="10">
        <f>'[2]Equil Ks'!K36</f>
        <v>13.155915031247362</v>
      </c>
      <c r="C74">
        <v>1</v>
      </c>
      <c r="D74">
        <v>1</v>
      </c>
      <c r="E74" s="6" t="s">
        <v>66</v>
      </c>
      <c r="I74">
        <v>128</v>
      </c>
      <c r="J74">
        <v>7520</v>
      </c>
      <c r="K74">
        <v>7521</v>
      </c>
      <c r="L74">
        <v>7522</v>
      </c>
    </row>
    <row r="75" spans="1:12" x14ac:dyDescent="0.35">
      <c r="A75" s="5">
        <v>7521</v>
      </c>
      <c r="B75" s="10">
        <f>'[2]Equil Ks'!K35</f>
        <v>19.867851304682883</v>
      </c>
      <c r="C75">
        <v>2</v>
      </c>
      <c r="D75">
        <v>1</v>
      </c>
      <c r="E75" s="6" t="s">
        <v>67</v>
      </c>
      <c r="H75">
        <v>4</v>
      </c>
      <c r="I75" s="14" cm="1">
        <f t="array" ref="I75">10^-[1]!AqSpeciateOne($H75,,0.01,CDTA_Comp,CDTA_Spec,,,I$74)/$C$70</f>
        <v>2.8237363775155731E-12</v>
      </c>
      <c r="J75" s="14" cm="1">
        <f t="array" ref="J75">10^-[1]!AqSpeciateOne($H75,,0.01,CDTA_Comp,CDTA_Spec,,,J$74)/$C$70</f>
        <v>1.9657083800410525E-3</v>
      </c>
      <c r="K75" s="14" cm="1">
        <f t="array" ref="K75">10^-[1]!AqSpeciateOne($H75,,0.01,CDTA_Comp,CDTA_Spec,,,K$74)/$C$70</f>
        <v>0.60496009217100721</v>
      </c>
      <c r="L75" s="14" cm="1">
        <f t="array" ref="L75">10^-[1]!AqSpeciateOne($H75,,0.01,CDTA_Comp,CDTA_Spec,,,L$74)/$C$70</f>
        <v>0.37622448813172449</v>
      </c>
    </row>
    <row r="76" spans="1:12" x14ac:dyDescent="0.35">
      <c r="A76" s="5">
        <v>7522</v>
      </c>
      <c r="B76" s="10">
        <f>'[2]Equil Ks'!K34</f>
        <v>23.795808820306565</v>
      </c>
      <c r="C76">
        <v>3</v>
      </c>
      <c r="D76">
        <v>1</v>
      </c>
      <c r="E76" s="6" t="s">
        <v>68</v>
      </c>
      <c r="H76">
        <v>4.0999999999999996</v>
      </c>
      <c r="I76" s="14" cm="1">
        <f t="array" ref="I76">10^-[1]!AqSpeciateOne($H76,,0.01,CDTA_Comp,CDTA_Spec,,,I$74)/$C$70</f>
        <v>4.8809129703470304E-12</v>
      </c>
      <c r="J76" s="14" cm="1">
        <f t="array" ref="J76">10^-[1]!AqSpeciateOne($H76,,0.01,CDTA_Comp,CDTA_Spec,,,J$74)/$C$70</f>
        <v>2.6989572419429324E-3</v>
      </c>
      <c r="K76" s="14" cm="1">
        <f t="array" ref="K76">10^-[1]!AqSpeciateOne($H76,,0.01,CDTA_Comp,CDTA_Spec,,,K$74)/$C$70</f>
        <v>0.65978682856205073</v>
      </c>
      <c r="L76" s="14" cm="1">
        <f t="array" ref="L76">10^-[1]!AqSpeciateOne($H76,,0.01,CDTA_Comp,CDTA_Spec,,,L$74)/$C$70</f>
        <v>0.32592972875179321</v>
      </c>
    </row>
    <row r="77" spans="1:12" x14ac:dyDescent="0.35">
      <c r="A77" s="5">
        <v>7523</v>
      </c>
      <c r="B77" s="10">
        <f>'[2]Equil Ks'!K33</f>
        <v>26.489787578118406</v>
      </c>
      <c r="C77">
        <v>4</v>
      </c>
      <c r="D77">
        <v>1</v>
      </c>
      <c r="E77" s="6" t="s">
        <v>69</v>
      </c>
      <c r="H77">
        <v>4.2</v>
      </c>
      <c r="I77" s="14" cm="1">
        <f t="array" ref="I77">10^-[1]!AqSpeciateOne($H77,,0.01,CDTA_Comp,CDTA_Spec,,,I$74)/$C$70</f>
        <v>8.3234990719607216E-12</v>
      </c>
      <c r="J77" s="14" cm="1">
        <f t="array" ref="J77">10^-[1]!AqSpeciateOne($H77,,0.01,CDTA_Comp,CDTA_Spec,,,J$74)/$C$70</f>
        <v>3.6559552886192173E-3</v>
      </c>
      <c r="K77" s="14" cm="1">
        <f t="array" ref="K77">10^-[1]!AqSpeciateOne($H77,,0.01,CDTA_Comp,CDTA_Spec,,,K$74)/$C$70</f>
        <v>0.70991853124337989</v>
      </c>
      <c r="L77" s="14" cm="1">
        <f t="array" ref="L77">10^-[1]!AqSpeciateOne($H77,,0.01,CDTA_Comp,CDTA_Spec,,,L$74)/$C$70</f>
        <v>0.27856647373667243</v>
      </c>
    </row>
    <row r="78" spans="1:12" ht="15" thickBot="1" x14ac:dyDescent="0.4">
      <c r="A78" s="11">
        <v>7524</v>
      </c>
      <c r="B78" s="12">
        <f>'[2]Equil Ks'!K32</f>
        <v>28.089787578118408</v>
      </c>
      <c r="C78" s="12">
        <v>5</v>
      </c>
      <c r="D78" s="12">
        <v>1</v>
      </c>
      <c r="E78" s="13" t="s">
        <v>70</v>
      </c>
      <c r="H78">
        <v>4.3</v>
      </c>
      <c r="I78" s="14" cm="1">
        <f t="array" ref="I78">10^-[1]!AqSpeciateOne($H78,,0.01,CDTA_Comp,CDTA_Spec,,,I$74)/$C$70</f>
        <v>1.4022699008656236E-11</v>
      </c>
      <c r="J78" s="14" cm="1">
        <f t="array" ref="J78">10^-[1]!AqSpeciateOne($H78,,0.01,CDTA_Comp,CDTA_Spec,,,J$74)/$C$70</f>
        <v>4.8924517639989985E-3</v>
      </c>
      <c r="K78" s="14" cm="1">
        <f t="array" ref="K78">10^-[1]!AqSpeciateOne($H78,,0.01,CDTA_Comp,CDTA_Spec,,,K$74)/$C$70</f>
        <v>0.75463021406017006</v>
      </c>
      <c r="L78" s="14" cm="1">
        <f t="array" ref="L78">10^-[1]!AqSpeciateOne($H78,,0.01,CDTA_Comp,CDTA_Spec,,,L$74)/$C$70</f>
        <v>0.23520931840277484</v>
      </c>
    </row>
    <row r="79" spans="1:12" x14ac:dyDescent="0.35">
      <c r="H79">
        <v>4.4000000000000004</v>
      </c>
      <c r="I79" s="14" cm="1">
        <f t="array" ref="I79">10^-[1]!AqSpeciateOne($H79,,0.01,CDTA_Comp,CDTA_Spec,,,I$74)/$C$70</f>
        <v>2.3370936017015357E-11</v>
      </c>
      <c r="J79" s="14" cm="1">
        <f t="array" ref="J79">10^-[1]!AqSpeciateOne($H79,,0.01,CDTA_Comp,CDTA_Spec,,,J$74)/$C$70</f>
        <v>6.4769574915666695E-3</v>
      </c>
      <c r="K79" s="14" cm="1">
        <f t="array" ref="K79">10^-[1]!AqSpeciateOne($H79,,0.01,CDTA_Comp,CDTA_Spec,,,K$74)/$C$70</f>
        <v>0.79355801762681144</v>
      </c>
      <c r="L79" s="14" cm="1">
        <f t="array" ref="L79">10^-[1]!AqSpeciateOne($H79,,0.01,CDTA_Comp,CDTA_Spec,,,L$74)/$C$70</f>
        <v>0.19647125425522516</v>
      </c>
    </row>
    <row r="80" spans="1:12" x14ac:dyDescent="0.35">
      <c r="H80">
        <v>4.5</v>
      </c>
      <c r="I80" s="14" cm="1">
        <f t="array" ref="I80">10^-[1]!AqSpeciateOne($H80,,0.01,CDTA_Comp,CDTA_Spec,,,I$74)/$C$70</f>
        <v>3.8584660577037162E-11</v>
      </c>
      <c r="J80" s="14" cm="1">
        <f t="array" ref="J80">10^-[1]!AqSpeciateOne($H80,,0.01,CDTA_Comp,CDTA_Spec,,,J$74)/$C$70</f>
        <v>8.4939485205166778E-3</v>
      </c>
      <c r="K80" s="14" cm="1">
        <f t="array" ref="K80">10^-[1]!AqSpeciateOne($H80,,0.01,CDTA_Comp,CDTA_Spec,,,K$74)/$C$70</f>
        <v>0.82664160878958348</v>
      </c>
      <c r="L80" s="14" cm="1">
        <f t="array" ref="L80">10^-[1]!AqSpeciateOne($H80,,0.01,CDTA_Comp,CDTA_Spec,,,L$74)/$C$70</f>
        <v>0.16256894800854702</v>
      </c>
    </row>
    <row r="81" spans="8:12" x14ac:dyDescent="0.35">
      <c r="H81">
        <v>4.5999999999999996</v>
      </c>
      <c r="I81" s="14" cm="1">
        <f t="array" ref="I81">10^-[1]!AqSpeciateOne($H81,,0.01,CDTA_Comp,CDTA_Spec,,,I$74)/$C$70</f>
        <v>6.3179626970557456E-11</v>
      </c>
      <c r="J81" s="14" cm="1">
        <f t="array" ref="J81">10^-[1]!AqSpeciateOne($H81,,0.01,CDTA_Comp,CDTA_Spec,,,J$74)/$C$70</f>
        <v>1.1047703186103805E-2</v>
      </c>
      <c r="K81" s="14" cm="1">
        <f t="array" ref="K81">10^-[1]!AqSpeciateOne($H81,,0.01,CDTA_Comp,CDTA_Spec,,,K$74)/$C$70</f>
        <v>0.85404279817908435</v>
      </c>
      <c r="L81" s="14" cm="1">
        <f t="array" ref="L81">10^-[1]!AqSpeciateOne($H81,,0.01,CDTA_Comp,CDTA_Spec,,,L$74)/$C$70</f>
        <v>0.13341355864478197</v>
      </c>
    </row>
    <row r="82" spans="8:12" x14ac:dyDescent="0.35">
      <c r="H82">
        <v>4.7</v>
      </c>
      <c r="I82" s="14" cm="1">
        <f t="array" ref="I82">10^-[1]!AqSpeciateOne($H82,,0.01,CDTA_Comp,CDTA_Spec,,,I$74)/$C$70</f>
        <v>1.0271428905490197E-10</v>
      </c>
      <c r="J82" s="14" cm="1">
        <f t="array" ref="J82">10^-[1]!AqSpeciateOne($H82,,0.01,CDTA_Comp,CDTA_Spec,,,J$74)/$C$70</f>
        <v>1.4266774761957285E-2</v>
      </c>
      <c r="K82" s="14" cm="1">
        <f t="array" ref="K82">10^-[1]!AqSpeciateOne($H82,,0.01,CDTA_Comp,CDTA_Spec,,,K$74)/$C$70</f>
        <v>0.87605917407025169</v>
      </c>
      <c r="L82" s="14" cm="1">
        <f t="array" ref="L82">10^-[1]!AqSpeciateOne($H82,,0.01,CDTA_Comp,CDTA_Spec,,,L$74)/$C$70</f>
        <v>0.10870606512627196</v>
      </c>
    </row>
    <row r="83" spans="8:12" x14ac:dyDescent="0.35">
      <c r="H83">
        <v>4.8</v>
      </c>
      <c r="I83" s="14" cm="1">
        <f t="array" ref="I83">10^-[1]!AqSpeciateOne($H83,,0.01,CDTA_Comp,CDTA_Spec,,,I$74)/$C$70</f>
        <v>1.6594768100474464E-10</v>
      </c>
      <c r="J83" s="14" cm="1">
        <f t="array" ref="J83">10^-[1]!AqSpeciateOne($H83,,0.01,CDTA_Comp,CDTA_Spec,,,J$74)/$C$70</f>
        <v>1.8309063385007433E-2</v>
      </c>
      <c r="K83" s="14" cm="1">
        <f t="array" ref="K83">10^-[1]!AqSpeciateOne($H83,,0.01,CDTA_Comp,CDTA_Spec,,,K$74)/$C$70</f>
        <v>0.89304586771844285</v>
      </c>
      <c r="L83" s="14" cm="1">
        <f t="array" ref="L83">10^-[1]!AqSpeciateOne($H83,,0.01,CDTA_Comp,CDTA_Spec,,,L$74)/$C$70</f>
        <v>8.8022581051688878E-2</v>
      </c>
    </row>
    <row r="84" spans="8:12" x14ac:dyDescent="0.35">
      <c r="H84">
        <v>4.9000000000000004</v>
      </c>
      <c r="I84" s="14" cm="1">
        <f t="array" ref="I84">10^-[1]!AqSpeciateOne($H84,,0.01,CDTA_Comp,CDTA_Spec,,,I$74)/$C$70</f>
        <v>2.6663366364404649E-10</v>
      </c>
      <c r="J84" s="14" cm="1">
        <f t="array" ref="J84">10^-[1]!AqSpeciateOne($H84,,0.01,CDTA_Comp,CDTA_Spec,,,J$74)/$C$70</f>
        <v>2.3367374582455188E-2</v>
      </c>
      <c r="K84" s="14" cm="1">
        <f t="array" ref="K84">10^-[1]!AqSpeciateOne($H84,,0.01,CDTA_Comp,CDTA_Spec,,,K$74)/$C$70</f>
        <v>0.90535219214110796</v>
      </c>
      <c r="L84" s="14" cm="1">
        <f t="array" ref="L84">10^-[1]!AqSpeciateOne($H84,,0.01,CDTA_Comp,CDTA_Spec,,,L$74)/$C$70</f>
        <v>7.0882314710948371E-2</v>
      </c>
    </row>
    <row r="85" spans="8:12" x14ac:dyDescent="0.35">
      <c r="H85">
        <v>5</v>
      </c>
      <c r="I85" s="14" cm="1">
        <f t="array" ref="I85">10^-[1]!AqSpeciateOne($H85,,0.01,CDTA_Comp,CDTA_Spec,,,I$74)/$C$70</f>
        <v>4.2628390617888341E-10</v>
      </c>
      <c r="J85" s="14" cm="1">
        <f t="array" ref="J85">10^-[1]!AqSpeciateOne($H85,,0.01,CDTA_Comp,CDTA_Spec,,,J$74)/$C$70</f>
        <v>2.9675215198018159E-2</v>
      </c>
      <c r="K85" s="14" cm="1">
        <f t="array" ref="K85">10^-[1]!AqSpeciateOne($H85,,0.01,CDTA_Comp,CDTA_Spec,,,K$74)/$C$70</f>
        <v>0.91327488368404608</v>
      </c>
      <c r="L85" s="14" cm="1">
        <f t="array" ref="L85">10^-[1]!AqSpeciateOne($H85,,0.01,CDTA_Comp,CDTA_Spec,,,L$74)/$C$70</f>
        <v>5.6796535851568804E-2</v>
      </c>
    </row>
    <row r="86" spans="8:12" x14ac:dyDescent="0.35">
      <c r="H86">
        <v>5.0999999999999996</v>
      </c>
      <c r="I86" s="14" cm="1">
        <f t="array" ref="I86">10^-[1]!AqSpeciateOne($H86,,0.01,CDTA_Comp,CDTA_Spec,,,I$74)/$C$70</f>
        <v>6.7838995309818126E-10</v>
      </c>
      <c r="J86" s="14" cm="1">
        <f t="array" ref="J86">10^-[1]!AqSpeciateOne($H86,,0.01,CDTA_Comp,CDTA_Spec,,,J$74)/$C$70</f>
        <v>3.7512356559094476E-2</v>
      </c>
      <c r="K86" s="14" cm="1">
        <f t="array" ref="K86">10^-[1]!AqSpeciateOne($H86,,0.01,CDTA_Comp,CDTA_Spec,,,K$74)/$C$70</f>
        <v>0.91702670873720571</v>
      </c>
      <c r="L86" s="14" cm="1">
        <f t="array" ref="L86">10^-[1]!AqSpeciateOne($H86,,0.01,CDTA_Comp,CDTA_Spec,,,L$74)/$C$70</f>
        <v>4.5300429396001006E-2</v>
      </c>
    </row>
    <row r="87" spans="8:12" x14ac:dyDescent="0.35">
      <c r="H87">
        <v>5.2</v>
      </c>
      <c r="I87" s="14" cm="1">
        <f t="array" ref="I87">10^-[1]!AqSpeciateOne($H87,,0.01,CDTA_Comp,CDTA_Spec,,,I$74)/$C$70</f>
        <v>1.0748137901329536E-9</v>
      </c>
      <c r="J87" s="14" cm="1">
        <f t="array" ref="J87">10^-[1]!AqSpeciateOne($H87,,0.01,CDTA_Comp,CDTA_Spec,,,J$74)/$C$70</f>
        <v>4.7209366233422437E-2</v>
      </c>
      <c r="K87" s="14" cm="1">
        <f t="array" ref="K87">10^-[1]!AqSpeciateOne($H87,,0.01,CDTA_Comp,CDTA_Spec,,,K$74)/$C$70</f>
        <v>0.9167181021521682</v>
      </c>
      <c r="L87" s="14" cm="1">
        <f t="array" ref="L87">10^-[1]!AqSpeciateOne($H87,,0.01,CDTA_Comp,CDTA_Spec,,,L$74)/$C$70</f>
        <v>3.5971300633587271E-2</v>
      </c>
    </row>
    <row r="88" spans="8:12" x14ac:dyDescent="0.35">
      <c r="H88">
        <v>5.3</v>
      </c>
      <c r="I88" s="14" cm="1">
        <f t="array" ref="I88">10^-[1]!AqSpeciateOne($H88,,0.01,CDTA_Comp,CDTA_Spec,,,I$74)/$C$70</f>
        <v>1.6953476284117449E-9</v>
      </c>
      <c r="J88" s="14" cm="1">
        <f t="array" ref="J88">10^-[1]!AqSpeciateOne($H88,,0.01,CDTA_Comp,CDTA_Spec,,,J$74)/$C$70</f>
        <v>5.9149857599413963E-2</v>
      </c>
      <c r="K88" s="14" cm="1">
        <f t="array" ref="K88">10^-[1]!AqSpeciateOne($H88,,0.01,CDTA_Comp,CDTA_Spec,,,K$74)/$C$70</f>
        <v>0.91234971452001146</v>
      </c>
      <c r="L88" s="14" cm="1">
        <f t="array" ref="L88">10^-[1]!AqSpeciateOne($H88,,0.01,CDTA_Comp,CDTA_Spec,,,L$74)/$C$70</f>
        <v>2.8436862253716826E-2</v>
      </c>
    </row>
    <row r="89" spans="8:12" x14ac:dyDescent="0.35">
      <c r="H89">
        <v>5.4</v>
      </c>
      <c r="I89" s="14" cm="1">
        <f t="array" ref="I89">10^-[1]!AqSpeciateOne($H89,,0.01,CDTA_Comp,CDTA_Spec,,,I$74)/$C$70</f>
        <v>2.6618087056013903E-9</v>
      </c>
      <c r="J89" s="14" cm="1">
        <f t="array" ref="J89">10^-[1]!AqSpeciateOne($H89,,0.01,CDTA_Comp,CDTA_Spec,,,J$74)/$C$70</f>
        <v>7.3768640778060307E-2</v>
      </c>
      <c r="K89" s="14" cm="1">
        <f t="array" ref="K89">10^-[1]!AqSpeciateOne($H89,,0.01,CDTA_Comp,CDTA_Spec,,,K$74)/$C$70</f>
        <v>0.90381473732201445</v>
      </c>
      <c r="L89" s="14" cm="1">
        <f t="array" ref="L89">10^-[1]!AqSpeciateOne($H89,,0.01,CDTA_Comp,CDTA_Spec,,,L$74)/$C$70</f>
        <v>2.2376891306203257E-2</v>
      </c>
    </row>
    <row r="90" spans="8:12" x14ac:dyDescent="0.35">
      <c r="H90">
        <v>5.4999999999999902</v>
      </c>
      <c r="I90" s="14" cm="1">
        <f t="array" ref="I90">10^-[1]!AqSpeciateOne($H90,,0.01,CDTA_Comp,CDTA_Spec,,,I$74)/$C$70</f>
        <v>4.1584530391223454E-9</v>
      </c>
      <c r="J90" s="14" cm="1">
        <f t="array" ref="J90">10^-[1]!AqSpeciateOne($H90,,0.01,CDTA_Comp,CDTA_Spec,,,J$74)/$C$70</f>
        <v>9.1543337458599078E-2</v>
      </c>
      <c r="K90" s="14" cm="1">
        <f t="array" ref="K90">10^-[1]!AqSpeciateOne($H90,,0.01,CDTA_Comp,CDTA_Spec,,,K$74)/$C$70</f>
        <v>0.89091111828568692</v>
      </c>
      <c r="L90" s="14" cm="1">
        <f t="array" ref="L90">10^-[1]!AqSpeciateOne($H90,,0.01,CDTA_Comp,CDTA_Spec,,,L$74)/$C$70</f>
        <v>1.7520831485956855E-2</v>
      </c>
    </row>
    <row r="91" spans="8:12" x14ac:dyDescent="0.35">
      <c r="H91">
        <v>5.5999999999999899</v>
      </c>
      <c r="I91" s="14" cm="1">
        <f t="array" ref="I91">10^-[1]!AqSpeciateOne($H91,,0.01,CDTA_Comp,CDTA_Spec,,,I$74)/$C$70</f>
        <v>6.4609028279249288E-9</v>
      </c>
      <c r="J91" s="14" cm="1">
        <f t="array" ref="J91">10^-[1]!AqSpeciateOne($H91,,0.01,CDTA_Comp,CDTA_Spec,,,J$74)/$C$70</f>
        <v>0.11297650869391498</v>
      </c>
      <c r="K91" s="14" cm="1">
        <f t="array" ref="K91">10^-[1]!AqSpeciateOne($H91,,0.01,CDTA_Comp,CDTA_Spec,,,K$74)/$C$70</f>
        <v>0.87336500617450752</v>
      </c>
      <c r="L91" s="14" cm="1">
        <f t="array" ref="L91">10^-[1]!AqSpeciateOne($H91,,0.01,CDTA_Comp,CDTA_Spec,,,L$74)/$C$70</f>
        <v>1.3643196069095913E-2</v>
      </c>
    </row>
    <row r="92" spans="8:12" x14ac:dyDescent="0.35">
      <c r="H92">
        <v>5.6999999999999904</v>
      </c>
      <c r="I92" s="14" cm="1">
        <f t="array" ref="I92">10^-[1]!AqSpeciateOne($H92,,0.01,CDTA_Comp,CDTA_Spec,,,I$74)/$C$70</f>
        <v>9.9760654345827559E-9</v>
      </c>
      <c r="J92" s="14" cm="1">
        <f t="array" ref="J92">10^-[1]!AqSpeciateOne($H92,,0.01,CDTA_Comp,CDTA_Spec,,,J$74)/$C$70</f>
        <v>0.13856521801914859</v>
      </c>
      <c r="K92" s="14" cm="1">
        <f t="array" ref="K92">10^-[1]!AqSpeciateOne($H92,,0.01,CDTA_Comp,CDTA_Spec,,,K$74)/$C$70</f>
        <v>0.8508673647558711</v>
      </c>
      <c r="L92" s="14" cm="1">
        <f t="array" ref="L92">10^-[1]!AqSpeciateOne($H92,,0.01,CDTA_Comp,CDTA_Spec,,,L$74)/$C$70</f>
        <v>1.0558013191875569E-2</v>
      </c>
    </row>
    <row r="93" spans="8:12" x14ac:dyDescent="0.35">
      <c r="H93">
        <v>5.7999999999999901</v>
      </c>
      <c r="I93" s="14" cm="1">
        <f t="array" ref="I93">10^-[1]!AqSpeciateOne($H93,,0.01,CDTA_Comp,CDTA_Spec,,,I$74)/$C$70</f>
        <v>1.5295492529893165E-8</v>
      </c>
      <c r="J93" s="14" cm="1">
        <f t="array" ref="J93">10^-[1]!AqSpeciateOne($H93,,0.01,CDTA_Comp,CDTA_Spec,,,J$74)/$C$70</f>
        <v>0.16875568283881051</v>
      </c>
      <c r="K93" s="14" cm="1">
        <f t="array" ref="K93">10^-[1]!AqSpeciateOne($H93,,0.01,CDTA_Comp,CDTA_Spec,,,K$74)/$C$70</f>
        <v>0.82312547640538825</v>
      </c>
      <c r="L93" s="14" cm="1">
        <f t="array" ref="L93">10^-[1]!AqSpeciateOne($H93,,0.01,CDTA_Comp,CDTA_Spec,,,L$74)/$C$70</f>
        <v>8.1130915646818735E-3</v>
      </c>
    </row>
    <row r="94" spans="8:12" x14ac:dyDescent="0.35">
      <c r="H94">
        <v>5.8999999999999897</v>
      </c>
      <c r="I94" s="14" cm="1">
        <f t="array" ref="I94">10^-[1]!AqSpeciateOne($H94,,0.01,CDTA_Comp,CDTA_Spec,,,I$74)/$C$70</f>
        <v>2.3264063812515461E-8</v>
      </c>
      <c r="J94" s="14" cm="1">
        <f t="array" ref="J94">10^-[1]!AqSpeciateOne($H94,,0.01,CDTA_Comp,CDTA_Spec,,,J$74)/$C$70</f>
        <v>0.20388276783494599</v>
      </c>
      <c r="K94" s="14" cm="1">
        <f t="array" ref="K94">10^-[1]!AqSpeciateOne($H94,,0.01,CDTA_Comp,CDTA_Spec,,,K$74)/$C$70</f>
        <v>0.78992918159390102</v>
      </c>
      <c r="L94" s="14" cm="1">
        <f t="array" ref="L94">10^-[1]!AqSpeciateOne($H94,,0.01,CDTA_Comp,CDTA_Spec,,,L$74)/$C$70</f>
        <v>6.1845555061488438E-3</v>
      </c>
    </row>
    <row r="95" spans="8:12" x14ac:dyDescent="0.35">
      <c r="H95">
        <v>5.9999999999999902</v>
      </c>
      <c r="I95" s="14" cm="1">
        <f t="array" ref="I95">10^-[1]!AqSpeciateOne($H95,,0.01,CDTA_Comp,CDTA_Spec,,,I$74)/$C$70</f>
        <v>3.5064625944656247E-8</v>
      </c>
      <c r="J95" s="14" cm="1">
        <f t="array" ref="J95">10^-[1]!AqSpeciateOne($H95,,0.01,CDTA_Comp,CDTA_Spec,,,J$74)/$C$70</f>
        <v>0.2440979604585542</v>
      </c>
      <c r="K95" s="14" cm="1">
        <f t="array" ref="K95">10^-[1]!AqSpeciateOne($H95,,0.01,CDTA_Comp,CDTA_Spec,,,K$74)/$C$70</f>
        <v>0.75122803645309844</v>
      </c>
      <c r="L95" s="14" cm="1">
        <f t="array" ref="L95">10^-[1]!AqSpeciateOne($H95,,0.01,CDTA_Comp,CDTA_Spec,,,L$74)/$C$70</f>
        <v>4.6718847597120722E-3</v>
      </c>
    </row>
    <row r="96" spans="8:12" x14ac:dyDescent="0.35">
      <c r="H96">
        <v>6.0999999999999899</v>
      </c>
      <c r="I96" s="14" cm="1">
        <f t="array" ref="I96">10^-[1]!AqSpeciateOne($H96,,0.01,CDTA_Comp,CDTA_Spec,,,I$74)/$C$70</f>
        <v>5.2317373080949888E-8</v>
      </c>
      <c r="J96" s="14" cm="1">
        <f t="array" ref="J96">10^-[1]!AqSpeciateOne($H96,,0.01,CDTA_Comp,CDTA_Spec,,,J$74)/$C$70</f>
        <v>0.28929496144288908</v>
      </c>
      <c r="K96" s="14" cm="1">
        <f t="array" ref="K96">10^-[1]!AqSpeciateOne($H96,,0.01,CDTA_Comp,CDTA_Spec,,,K$74)/$C$70</f>
        <v>0.70721018533802826</v>
      </c>
      <c r="L96" s="14" cm="1">
        <f t="array" ref="L96">10^-[1]!AqSpeciateOne($H96,,0.01,CDTA_Comp,CDTA_Spec,,,L$74)/$C$70</f>
        <v>3.4935651016266985E-3</v>
      </c>
    </row>
    <row r="97" spans="8:12" x14ac:dyDescent="0.35">
      <c r="H97">
        <v>6.1999999999999904</v>
      </c>
      <c r="I97" s="14" cm="1">
        <f t="array" ref="I97">10^-[1]!AqSpeciateOne($H97,,0.01,CDTA_Comp,CDTA_Spec,,,I$74)/$C$70</f>
        <v>7.7190897743299062E-8</v>
      </c>
      <c r="J97" s="14" cm="1">
        <f t="array" ref="J97">10^-[1]!AqSpeciateOne($H97,,0.01,CDTA_Comp,CDTA_Spec,,,J$74)/$C$70</f>
        <v>0.33904787926096208</v>
      </c>
      <c r="K97" s="14" cm="1">
        <f t="array" ref="K97">10^-[1]!AqSpeciateOne($H97,,0.01,CDTA_Comp,CDTA_Spec,,,K$74)/$C$70</f>
        <v>0.65836793249469927</v>
      </c>
      <c r="L97" s="14" cm="1">
        <f t="array" ref="L97">10^-[1]!AqSpeciateOne($H97,,0.01,CDTA_Comp,CDTA_Spec,,,L$74)/$C$70</f>
        <v>2.5833842237523133E-3</v>
      </c>
    </row>
    <row r="98" spans="8:12" x14ac:dyDescent="0.35">
      <c r="H98">
        <v>6.2999999999999901</v>
      </c>
      <c r="I98" s="14" cm="1">
        <f t="array" ref="I98">10^-[1]!AqSpeciateOne($H98,,0.01,CDTA_Comp,CDTA_Spec,,,I$74)/$C$70</f>
        <v>1.1252112234856643E-7</v>
      </c>
      <c r="J98" s="14" cm="1">
        <f t="array" ref="J98">10^-[1]!AqSpeciateOne($H98,,0.01,CDTA_Comp,CDTA_Spec,,,J$74)/$C$70</f>
        <v>0.39258074581903196</v>
      </c>
      <c r="K98" s="14" cm="1">
        <f t="array" ref="K98">10^-[1]!AqSpeciateOne($H98,,0.01,CDTA_Comp,CDTA_Spec,,,K$74)/$C$70</f>
        <v>0.60553135021850568</v>
      </c>
      <c r="L98" s="14" cm="1">
        <f t="array" ref="L98">10^-[1]!AqSpeciateOne($H98,,0.01,CDTA_Comp,CDTA_Spec,,,L$74)/$C$70</f>
        <v>1.8873696481102444E-3</v>
      </c>
    </row>
    <row r="99" spans="8:12" x14ac:dyDescent="0.35">
      <c r="H99">
        <v>6.3999999999999897</v>
      </c>
      <c r="I99" s="14" cm="1">
        <f t="array" ref="I99">10^-[1]!AqSpeciateOne($H99,,0.01,CDTA_Comp,CDTA_Spec,,,I$74)/$C$70</f>
        <v>1.6193616506720867E-7</v>
      </c>
      <c r="J99" s="14" cm="1">
        <f t="array" ref="J99">10^-[1]!AqSpeciateOne($H99,,0.01,CDTA_Comp,CDTA_Spec,,,J$74)/$C$70</f>
        <v>0.44878547300118349</v>
      </c>
      <c r="K99" s="14" cm="1">
        <f t="array" ref="K99">10^-[1]!AqSpeciateOne($H99,,0.01,CDTA_Comp,CDTA_Spec,,,K$74)/$C$70</f>
        <v>0.54985278312888075</v>
      </c>
      <c r="L99" s="14" cm="1">
        <f t="array" ref="L99">10^-[1]!AqSpeciateOne($H99,,0.01,CDTA_Comp,CDTA_Spec,,,L$74)/$C$70</f>
        <v>1.3613404887538225E-3</v>
      </c>
    </row>
    <row r="100" spans="8:12" x14ac:dyDescent="0.35">
      <c r="H100">
        <v>6.4999999999999902</v>
      </c>
      <c r="I100" s="14" cm="1">
        <f t="array" ref="I100">10^-[1]!AqSpeciateOne($H100,,0.01,CDTA_Comp,CDTA_Spec,,,I$74)/$C$70</f>
        <v>2.2999056409191064E-7</v>
      </c>
      <c r="J100" s="14" cm="1">
        <f t="array" ref="J100">10^-[1]!AqSpeciateOne($H100,,0.01,CDTA_Comp,CDTA_Spec,,,J$74)/$C$70</f>
        <v>0.50629653919099893</v>
      </c>
      <c r="K100" s="14" cm="1">
        <f t="array" ref="K100">10^-[1]!AqSpeciateOne($H100,,0.01,CDTA_Comp,CDTA_Spec,,,K$74)/$C$70</f>
        <v>0.49273407375913236</v>
      </c>
      <c r="L100" s="14" cm="1">
        <f t="array" ref="L100">10^-[1]!AqSpeciateOne($H100,,0.01,CDTA_Comp,CDTA_Spec,,,L$74)/$C$70</f>
        <v>9.6902042151351996E-4</v>
      </c>
    </row>
    <row r="101" spans="8:12" x14ac:dyDescent="0.35">
      <c r="H101">
        <v>6.5999999999999899</v>
      </c>
      <c r="I101" s="14" cm="1">
        <f t="array" ref="I101">10^-[1]!AqSpeciateOne($H101,,0.01,CDTA_Comp,CDTA_Spec,,,I$74)/$C$70</f>
        <v>3.223206915370019E-7</v>
      </c>
      <c r="J101" s="14" cm="1">
        <f t="array" ref="J101">10^-[1]!AqSpeciateOne($H101,,0.01,CDTA_Comp,CDTA_Spec,,,J$74)/$C$70</f>
        <v>0.5636157574181363</v>
      </c>
      <c r="K101" s="14" cm="1">
        <f t="array" ref="K101">10^-[1]!AqSpeciateOne($H101,,0.01,CDTA_Comp,CDTA_Spec,,,K$74)/$C$70</f>
        <v>0.43570321401165052</v>
      </c>
      <c r="L101" s="14" cm="1">
        <f t="array" ref="L101">10^-[1]!AqSpeciateOne($H101,,0.01,CDTA_Comp,CDTA_Spec,,,L$74)/$C$70</f>
        <v>6.8063001547699197E-4</v>
      </c>
    </row>
    <row r="102" spans="8:12" x14ac:dyDescent="0.35">
      <c r="H102">
        <v>6.6999999999999904</v>
      </c>
      <c r="I102" s="14" cm="1">
        <f t="array" ref="I102">10^-[1]!AqSpeciateOne($H102,,0.01,CDTA_Comp,CDTA_Spec,,,I$74)/$C$70</f>
        <v>4.4584244218915028E-7</v>
      </c>
      <c r="J102" s="14" cm="1">
        <f t="array" ref="J102">10^-[1]!AqSpeciateOne($H102,,0.01,CDTA_Comp,CDTA_Spec,,,J$74)/$C$70</f>
        <v>0.61926473527299009</v>
      </c>
      <c r="K102" s="14" cm="1">
        <f t="array" ref="K102">10^-[1]!AqSpeciateOne($H102,,0.01,CDTA_Comp,CDTA_Spec,,,K$74)/$C$70</f>
        <v>0.38026292667122047</v>
      </c>
      <c r="L102" s="14" cm="1">
        <f t="array" ref="L102">10^-[1]!AqSpeciateOne($H102,,0.01,CDTA_Comp,CDTA_Spec,,,L$74)/$C$70</f>
        <v>4.7185039202060316E-4</v>
      </c>
    </row>
    <row r="103" spans="8:12" x14ac:dyDescent="0.35">
      <c r="H103">
        <v>6.7999999999999901</v>
      </c>
      <c r="I103" s="14" cm="1">
        <f t="array" ref="I103">10^-[1]!AqSpeciateOne($H103,,0.01,CDTA_Comp,CDTA_Spec,,,I$74)/$C$70</f>
        <v>6.0901938115663864E-7</v>
      </c>
      <c r="J103" s="14" cm="1">
        <f t="array" ref="J103">10^-[1]!AqSpeciateOne($H103,,0.01,CDTA_Comp,CDTA_Spec,,,J$74)/$C$70</f>
        <v>0.67193312885019107</v>
      </c>
      <c r="K103" s="14" cm="1">
        <f t="array" ref="K103">10^-[1]!AqSpeciateOne($H103,,0.01,CDTA_Comp,CDTA_Spec,,,K$74)/$C$70</f>
        <v>0.32774320099528892</v>
      </c>
      <c r="L103" s="14" cm="1">
        <f t="array" ref="L103">10^-[1]!AqSpeciateOne($H103,,0.01,CDTA_Comp,CDTA_Spec,,,L$74)/$C$70</f>
        <v>3.2303830650324238E-4</v>
      </c>
    </row>
    <row r="104" spans="8:12" x14ac:dyDescent="0.35">
      <c r="H104">
        <v>6.8999999999999897</v>
      </c>
      <c r="I104" s="14" cm="1">
        <f t="array" ref="I104">10^-[1]!AqSpeciateOne($H104,,0.01,CDTA_Comp,CDTA_Spec,,,I$74)/$C$70</f>
        <v>8.2223253561282623E-7</v>
      </c>
      <c r="J104" s="14" cm="1">
        <f t="array" ref="J104">10^-[1]!AqSpeciateOne($H104,,0.01,CDTA_Comp,CDTA_Spec,,,J$74)/$C$70</f>
        <v>0.72059226846903723</v>
      </c>
      <c r="K104" s="14" cm="1">
        <f t="array" ref="K104">10^-[1]!AqSpeciateOne($H104,,0.01,CDTA_Comp,CDTA_Spec,,,K$74)/$C$70</f>
        <v>0.27918831343090694</v>
      </c>
      <c r="L104" s="14" cm="1">
        <f t="array" ref="L104">10^-[1]!AqSpeciateOne($H104,,0.01,CDTA_Comp,CDTA_Spec,,,L$74)/$C$70</f>
        <v>2.185835972786211E-4</v>
      </c>
    </row>
    <row r="105" spans="8:12" x14ac:dyDescent="0.35">
      <c r="H105">
        <v>6.9999999999999902</v>
      </c>
      <c r="I105" s="14" cm="1">
        <f t="array" ref="I105">10^-[1]!AqSpeciateOne($H105,,0.01,CDTA_Comp,CDTA_Spec,,,I$74)/$C$70</f>
        <v>1.0982824464681068E-6</v>
      </c>
      <c r="J105" s="14" cm="1">
        <f t="array" ref="J105">10^-[1]!AqSpeciateOne($H105,,0.01,CDTA_Comp,CDTA_Spec,,,J$74)/$C$70</f>
        <v>0.76455544004213682</v>
      </c>
      <c r="K105" s="14" cm="1">
        <f t="array" ref="K105">10^-[1]!AqSpeciateOne($H105,,0.01,CDTA_Comp,CDTA_Spec,,,K$74)/$C$70</f>
        <v>0.23529712452468782</v>
      </c>
      <c r="L105" s="14" cm="1">
        <f t="array" ref="L105">10^-[1]!AqSpeciateOne($H105,,0.01,CDTA_Comp,CDTA_Spec,,,L$74)/$C$70</f>
        <v>1.4633120660155141E-4</v>
      </c>
    </row>
    <row r="106" spans="8:12" x14ac:dyDescent="0.35">
      <c r="H106">
        <v>7.0999999999999899</v>
      </c>
      <c r="I106" s="14" cm="1">
        <f t="array" ref="I106">10^-[1]!AqSpeciateOne($H106,,0.01,CDTA_Comp,CDTA_Spec,,,I$74)/$C$70</f>
        <v>1.4530527381183102E-6</v>
      </c>
      <c r="J106" s="14" cm="1">
        <f t="array" ref="J106">10^-[1]!AqSpeciateOne($H106,,0.01,CDTA_Comp,CDTA_Spec,,,J$74)/$C$70</f>
        <v>0.80348230634210493</v>
      </c>
      <c r="K106" s="14" cm="1">
        <f t="array" ref="K106">10^-[1]!AqSpeciateOne($H106,,0.01,CDTA_Comp,CDTA_Spec,,,K$74)/$C$70</f>
        <v>0.19641920756238357</v>
      </c>
      <c r="L106" s="14" cm="1">
        <f t="array" ref="L106">10^-[1]!AqSpeciateOne($H106,,0.01,CDTA_Comp,CDTA_Spec,,,L$74)/$C$70</f>
        <v>9.7029610581913069E-5</v>
      </c>
    </row>
    <row r="107" spans="8:12" x14ac:dyDescent="0.35">
      <c r="H107">
        <v>7.1999999999999904</v>
      </c>
      <c r="I107" s="14" cm="1">
        <f t="array" ref="I107">10^-[1]!AqSpeciateOne($H107,,0.01,CDTA_Comp,CDTA_Spec,,,I$74)/$C$70</f>
        <v>1.906365708955702E-6</v>
      </c>
      <c r="J107" s="14" cm="1">
        <f t="array" ref="J107">10^-[1]!AqSpeciateOne($H107,,0.01,CDTA_Comp,CDTA_Spec,,,J$74)/$C$70</f>
        <v>0.83733868838617198</v>
      </c>
      <c r="K107" s="14" cm="1">
        <f t="array" ref="K107">10^-[1]!AqSpeciateOne($H107,,0.01,CDTA_Comp,CDTA_Spec,,,K$74)/$C$70</f>
        <v>0.16259560221177846</v>
      </c>
      <c r="L107" s="14" cm="1">
        <f t="array" ref="L107">10^-[1]!AqSpeciateOne($H107,,0.01,CDTA_Comp,CDTA_Spec,,,L$74)/$C$70</f>
        <v>6.3801241353564461E-5</v>
      </c>
    </row>
    <row r="108" spans="8:12" x14ac:dyDescent="0.35">
      <c r="H108">
        <v>7.2999999999999901</v>
      </c>
      <c r="I108" s="14" cm="1">
        <f t="array" ref="I108">10^-[1]!AqSpeciateOne($H108,,0.01,CDTA_Comp,CDTA_Spec,,,I$74)/$C$70</f>
        <v>2.4830665094660853E-6</v>
      </c>
      <c r="J108" s="14" cm="1">
        <f t="array" ref="J108">10^-[1]!AqSpeciateOne($H108,,0.01,CDTA_Comp,CDTA_Spec,,,J$74)/$C$70</f>
        <v>0.86632987821141838</v>
      </c>
      <c r="K108" s="14" cm="1">
        <f t="array" ref="K108">10^-[1]!AqSpeciateOne($H108,,0.01,CDTA_Comp,CDTA_Spec,,,K$74)/$C$70</f>
        <v>0.13362598815017118</v>
      </c>
      <c r="L108" s="14" cm="1">
        <f t="array" ref="L108">10^-[1]!AqSpeciateOne($H108,,0.01,CDTA_Comp,CDTA_Spec,,,L$74)/$C$70</f>
        <v>4.1649641119714955E-5</v>
      </c>
    </row>
    <row r="109" spans="8:12" x14ac:dyDescent="0.35">
      <c r="H109">
        <v>7.3999999999999897</v>
      </c>
      <c r="I109" s="14" cm="1">
        <f t="array" ref="I109">10^-[1]!AqSpeciateOne($H109,,0.01,CDTA_Comp,CDTA_Spec,,,I$74)/$C$70</f>
        <v>3.2143840860817588E-6</v>
      </c>
      <c r="J109" s="14" cm="1">
        <f t="array" ref="J109">10^-[1]!AqSpeciateOne($H109,,0.01,CDTA_Comp,CDTA_Spec,,,J$74)/$C$70</f>
        <v>0.89082564224054994</v>
      </c>
      <c r="K109" s="14" cm="1">
        <f t="array" ref="K109">10^-[1]!AqSpeciateOne($H109,,0.01,CDTA_Comp,CDTA_Spec,,,K$74)/$C$70</f>
        <v>0.10914412077399052</v>
      </c>
      <c r="L109" s="14" cm="1">
        <f t="array" ref="L109">10^-[1]!AqSpeciateOne($H109,,0.01,CDTA_Comp,CDTA_Spec,,,L$74)/$C$70</f>
        <v>2.7022198537139057E-5</v>
      </c>
    </row>
    <row r="110" spans="8:12" x14ac:dyDescent="0.35">
      <c r="H110">
        <v>7.4999999999999902</v>
      </c>
      <c r="I110" s="14" cm="1">
        <f t="array" ref="I110">10^-[1]!AqSpeciateOne($H110,,0.01,CDTA_Comp,CDTA_Spec,,,I$74)/$C$70</f>
        <v>4.1396335779228647E-6</v>
      </c>
      <c r="J110" s="14" cm="1">
        <f t="array" ref="J110">10^-[1]!AqSpeciateOne($H110,,0.01,CDTA_Comp,CDTA_Spec,,,J$74)/$C$70</f>
        <v>0.911290496763</v>
      </c>
      <c r="K110" s="14" cm="1">
        <f t="array" ref="K110">10^-[1]!AqSpeciateOne($H110,,0.01,CDTA_Comp,CDTA_Spec,,,K$74)/$C$70</f>
        <v>8.8687921818604909E-2</v>
      </c>
      <c r="L110" s="14" cm="1">
        <f t="array" ref="L110">10^-[1]!AqSpeciateOne($H110,,0.01,CDTA_Comp,CDTA_Spec,,,L$74)/$C$70</f>
        <v>1.7441539353707053E-5</v>
      </c>
    </row>
    <row r="111" spans="8:12" x14ac:dyDescent="0.35">
      <c r="H111">
        <v>7.5999999999999899</v>
      </c>
      <c r="I111" s="14" cm="1">
        <f t="array" ref="I111">10^-[1]!AqSpeciateOne($H111,,0.01,CDTA_Comp,CDTA_Spec,,,I$74)/$C$70</f>
        <v>5.3083458058543019E-6</v>
      </c>
      <c r="J111" s="14" cm="1">
        <f t="array" ref="J111">10^-[1]!AqSpeciateOne($H111,,0.01,CDTA_Comp,CDTA_Spec,,,J$74)/$C$70</f>
        <v>0.92822689345108</v>
      </c>
      <c r="K111" s="14" cm="1">
        <f t="array" ref="K111">10^-[1]!AqSpeciateOne($H111,,0.01,CDTA_Comp,CDTA_Spec,,,K$74)/$C$70</f>
        <v>7.1756588683989778E-2</v>
      </c>
      <c r="L111" s="14" cm="1">
        <f t="array" ref="L111">10^-[1]!AqSpeciateOne($H111,,0.01,CDTA_Comp,CDTA_Spec,,,L$74)/$C$70</f>
        <v>1.1209393572491404E-5</v>
      </c>
    </row>
    <row r="112" spans="8:12" x14ac:dyDescent="0.35">
      <c r="H112">
        <v>7.6999999999999904</v>
      </c>
      <c r="I112" s="14" cm="1">
        <f t="array" ref="I112">10^-[1]!AqSpeciateOne($H112,,0.01,CDTA_Comp,CDTA_Spec,,,I$74)/$C$70</f>
        <v>6.7829347874699178E-6</v>
      </c>
      <c r="J112" s="14" cm="1">
        <f t="array" ref="J112">10^-[1]!AqSpeciateOne($H112,,0.01,CDTA_Comp,CDTA_Spec,,,J$74)/$C$70</f>
        <v>0.94213379392769159</v>
      </c>
      <c r="K112" s="14" cm="1">
        <f t="array" ref="K112">10^-[1]!AqSpeciateOne($H112,,0.01,CDTA_Comp,CDTA_Spec,,,K$74)/$C$70</f>
        <v>5.7852245314255132E-2</v>
      </c>
      <c r="L112" s="14" cm="1">
        <f t="array" ref="L112">10^-[1]!AqSpeciateOne($H112,,0.01,CDTA_Comp,CDTA_Spec,,,L$74)/$C$70</f>
        <v>7.1786131952866434E-6</v>
      </c>
    </row>
    <row r="113" spans="8:12" x14ac:dyDescent="0.35">
      <c r="H113">
        <v>7.7999999999999901</v>
      </c>
      <c r="I113" s="14" cm="1">
        <f t="array" ref="I113">10^-[1]!AqSpeciateOne($H113,,0.01,CDTA_Comp,CDTA_Spec,,,I$74)/$C$70</f>
        <v>8.6420446834191466E-6</v>
      </c>
      <c r="J113" s="14" cm="1">
        <f t="array" ref="J113">10^-[1]!AqSpeciateOne($H113,,0.01,CDTA_Comp,CDTA_Spec,,,J$74)/$C$70</f>
        <v>0.95347969267655952</v>
      </c>
      <c r="K113" s="14" cm="1">
        <f t="array" ref="K113">10^-[1]!AqSpeciateOne($H113,,0.01,CDTA_Comp,CDTA_Spec,,,K$74)/$C$70</f>
        <v>4.6507081306820151E-2</v>
      </c>
      <c r="L113" s="14" cm="1">
        <f t="array" ref="L113">10^-[1]!AqSpeciateOne($H113,,0.01,CDTA_Comp,CDTA_Spec,,,L$74)/$C$70</f>
        <v>4.5839452169077254E-6</v>
      </c>
    </row>
    <row r="114" spans="8:12" x14ac:dyDescent="0.35">
      <c r="H114">
        <v>7.8999999999999897</v>
      </c>
      <c r="I114" s="14" cm="1">
        <f t="array" ref="I114">10^-[1]!AqSpeciateOne($H114,,0.01,CDTA_Comp,CDTA_Spec,,,I$74)/$C$70</f>
        <v>1.0984754971509941E-5</v>
      </c>
      <c r="J114" s="14" cm="1">
        <f t="array" ref="J114">10^-[1]!AqSpeciateOne($H114,,0.01,CDTA_Comp,CDTA_Spec,,,J$74)/$C$70</f>
        <v>0.96268745891905816</v>
      </c>
      <c r="K114" s="14" cm="1">
        <f t="array" ref="K114">10^-[1]!AqSpeciateOne($H114,,0.01,CDTA_Comp,CDTA_Spec,,,K$74)/$C$70</f>
        <v>3.7298636104953632E-2</v>
      </c>
      <c r="L114" s="14" cm="1">
        <f t="array" ref="L114">10^-[1]!AqSpeciateOne($H114,,0.01,CDTA_Comp,CDTA_Spec,,,L$74)/$C$70</f>
        <v>2.9202046293476737E-6</v>
      </c>
    </row>
    <row r="115" spans="8:12" x14ac:dyDescent="0.35">
      <c r="H115">
        <v>7.9999999999999902</v>
      </c>
      <c r="I115" s="14" cm="1">
        <f t="array" ref="I115">10^-[1]!AqSpeciateOne($H115,,0.01,CDTA_Comp,CDTA_Spec,,,I$74)/$C$70</f>
        <v>1.3935868470168596E-5</v>
      </c>
      <c r="J115" s="14" cm="1">
        <f t="array" ref="J115">10^-[1]!AqSpeciateOne($H115,,0.01,CDTA_Comp,CDTA_Spec,,,J$74)/$C$70</f>
        <v>0.97012786508998194</v>
      </c>
      <c r="K115" s="14" cm="1">
        <f t="array" ref="K115">10^-[1]!AqSpeciateOne($H115,,0.01,CDTA_Comp,CDTA_Spec,,,K$74)/$C$70</f>
        <v>2.9856343323430734E-2</v>
      </c>
      <c r="L115" s="14" cm="1">
        <f t="array" ref="L115">10^-[1]!AqSpeciateOne($H115,,0.01,CDTA_Comp,CDTA_Spec,,,L$74)/$C$70</f>
        <v>1.8567650378444843E-6</v>
      </c>
    </row>
    <row r="116" spans="8:12" x14ac:dyDescent="0.35">
      <c r="H116">
        <v>8.0999999999999908</v>
      </c>
      <c r="I116" s="14" cm="1">
        <f t="array" ref="I116">10^-[1]!AqSpeciateOne($H116,,0.01,CDTA_Comp,CDTA_Spec,,,I$74)/$C$70</f>
        <v>1.7652564793361598E-5</v>
      </c>
      <c r="J116" s="14" cm="1">
        <f t="array" ref="J116">10^-[1]!AqSpeciateOne($H116,,0.01,CDTA_Comp,CDTA_Spec,,,J$74)/$C$70</f>
        <v>0.97611897358874611</v>
      </c>
      <c r="K116" s="14" cm="1">
        <f t="array" ref="K116">10^-[1]!AqSpeciateOne($H116,,0.01,CDTA_Comp,CDTA_Spec,,,K$74)/$C$70</f>
        <v>2.3862195068334823E-2</v>
      </c>
      <c r="L116" s="14" cm="1">
        <f t="array" ref="L116">10^-[1]!AqSpeciateOne($H116,,0.01,CDTA_Comp,CDTA_Spec,,,L$74)/$C$70</f>
        <v>1.1787744812964968E-6</v>
      </c>
    </row>
    <row r="117" spans="8:12" x14ac:dyDescent="0.35">
      <c r="H117">
        <v>8.1999999999999904</v>
      </c>
      <c r="I117" s="14" cm="1">
        <f t="array" ref="I117">10^-[1]!AqSpeciateOne($H117,,0.01,CDTA_Comp,CDTA_Spec,,,I$74)/$C$70</f>
        <v>2.2332774383069451E-5</v>
      </c>
      <c r="J117" s="14" cm="1">
        <f t="array" ref="J117">10^-[1]!AqSpeciateOne($H117,,0.01,CDTA_Comp,CDTA_Spec,,,J$74)/$C$70</f>
        <v>0.9809291009639266</v>
      </c>
      <c r="K117" s="14" cm="1">
        <f t="array" ref="K117">10^-[1]!AqSpeciateOne($H117,,0.01,CDTA_Comp,CDTA_Spec,,,K$74)/$C$70</f>
        <v>1.9047819014034479E-2</v>
      </c>
      <c r="L117" s="14" cm="1">
        <f t="array" ref="L117">10^-[1]!AqSpeciateOne($H117,,0.01,CDTA_Comp,CDTA_Spec,,,L$74)/$C$70</f>
        <v>7.4742150565090502E-7</v>
      </c>
    </row>
    <row r="118" spans="8:12" x14ac:dyDescent="0.35">
      <c r="H118">
        <v>8.2999999999999794</v>
      </c>
      <c r="I118" s="14" cm="1">
        <f t="array" ref="I118">10^-[1]!AqSpeciateOne($H118,,0.01,CDTA_Comp,CDTA_Spec,,,I$74)/$C$70</f>
        <v>2.8225718798887895E-5</v>
      </c>
      <c r="J118" s="14" cm="1">
        <f t="array" ref="J118">10^-[1]!AqSpeciateOne($H118,,0.01,CDTA_Comp,CDTA_Spec,,,J$74)/$C$70</f>
        <v>0.98478165752913482</v>
      </c>
      <c r="K118" s="14" cm="1">
        <f t="array" ref="K118">10^-[1]!AqSpeciateOne($H118,,0.01,CDTA_Comp,CDTA_Spec,,,K$74)/$C$70</f>
        <v>1.5189643738384793E-2</v>
      </c>
      <c r="L118" s="14" cm="1">
        <f t="array" ref="L118">10^-[1]!AqSpeciateOne($H118,,0.01,CDTA_Comp,CDTA_Spec,,,L$74)/$C$70</f>
        <v>4.7344324199054483E-7</v>
      </c>
    </row>
    <row r="119" spans="8:12" x14ac:dyDescent="0.35">
      <c r="H119">
        <v>8.3999999999999808</v>
      </c>
      <c r="I119" s="14" cm="1">
        <f t="array" ref="I119">10^-[1]!AqSpeciateOne($H119,,0.01,CDTA_Comp,CDTA_Spec,,,I$74)/$C$70</f>
        <v>3.5645178787355351E-5</v>
      </c>
      <c r="J119" s="14" cm="1">
        <f t="array" ref="J119">10^-[1]!AqSpeciateOne($H119,,0.01,CDTA_Comp,CDTA_Spec,,,J$74)/$C$70</f>
        <v>0.98786076696679148</v>
      </c>
      <c r="K119" s="14" cm="1">
        <f t="array" ref="K119">10^-[1]!AqSpeciateOne($H119,,0.01,CDTA_Comp,CDTA_Spec,,,K$74)/$C$70</f>
        <v>1.2103288202002464E-2</v>
      </c>
      <c r="L119" s="14" cm="1">
        <f t="array" ref="L119">10^-[1]!AqSpeciateOne($H119,,0.01,CDTA_Comp,CDTA_Spec,,,L$74)/$C$70</f>
        <v>2.9965650410431369E-7</v>
      </c>
    </row>
    <row r="120" spans="8:12" x14ac:dyDescent="0.35">
      <c r="H120">
        <v>8.4999999999999805</v>
      </c>
      <c r="I120" s="14" cm="1">
        <f t="array" ref="I120">10^-[1]!AqSpeciateOne($H120,,0.01,CDTA_Comp,CDTA_Spec,,,I$74)/$C$70</f>
        <v>4.4986195506153888E-5</v>
      </c>
      <c r="J120" s="14" cm="1">
        <f t="array" ref="J120">10^-[1]!AqSpeciateOne($H120,,0.01,CDTA_Comp,CDTA_Spec,,,J$74)/$C$70</f>
        <v>0.99031693696067524</v>
      </c>
      <c r="K120" s="14" cm="1">
        <f t="array" ref="K120">10^-[1]!AqSpeciateOne($H120,,0.01,CDTA_Comp,CDTA_Spec,,,K$74)/$C$70</f>
        <v>9.6378873029828744E-3</v>
      </c>
      <c r="L120" s="14" cm="1">
        <f t="array" ref="L120">10^-[1]!AqSpeciateOne($H120,,0.01,CDTA_Comp,CDTA_Spec,,,L$74)/$C$70</f>
        <v>1.8954056790888648E-7</v>
      </c>
    </row>
    <row r="121" spans="8:12" x14ac:dyDescent="0.35">
      <c r="H121">
        <v>8.5999999999999801</v>
      </c>
      <c r="I121" s="14" cm="1">
        <f t="array" ref="I121">10^-[1]!AqSpeciateOne($H121,,0.01,CDTA_Comp,CDTA_Spec,,,I$74)/$C$70</f>
        <v>5.6746092136715075E-5</v>
      </c>
      <c r="J121" s="14" cm="1">
        <f t="array" ref="J121">10^-[1]!AqSpeciateOne($H121,,0.01,CDTA_Comp,CDTA_Spec,,,J$74)/$C$70</f>
        <v>0.99227237158254866</v>
      </c>
      <c r="K121" s="14" cm="1">
        <f t="array" ref="K121">10^-[1]!AqSpeciateOne($H121,,0.01,CDTA_Comp,CDTA_Spec,,,K$74)/$C$70</f>
        <v>7.6707624970241304E-3</v>
      </c>
      <c r="L121" s="14" cm="1">
        <f t="array" ref="L121">10^-[1]!AqSpeciateOne($H121,,0.01,CDTA_Comp,CDTA_Spec,,,L$74)/$C$70</f>
        <v>1.1982815433008038E-7</v>
      </c>
    </row>
    <row r="122" spans="8:12" x14ac:dyDescent="0.35">
      <c r="H122">
        <v>8.6999999999999797</v>
      </c>
      <c r="I122" s="14" cm="1">
        <f t="array" ref="I122">10^-[1]!AqSpeciateOne($H122,,0.01,CDTA_Comp,CDTA_Spec,,,I$74)/$C$70</f>
        <v>7.1550932297040815E-5</v>
      </c>
      <c r="J122" s="14" cm="1">
        <f t="array" ref="J122">10^-[1]!AqSpeciateOne($H122,,0.01,CDTA_Comp,CDTA_Spec,,,J$74)/$C$70</f>
        <v>0.99382573202094793</v>
      </c>
      <c r="K122" s="14" cm="1">
        <f t="array" ref="K122">10^-[1]!AqSpeciateOne($H122,,0.01,CDTA_Comp,CDTA_Spec,,,K$74)/$C$70</f>
        <v>6.102641728708582E-3</v>
      </c>
      <c r="L122" s="14" cm="1">
        <f t="array" ref="L122">10^-[1]!AqSpeciateOne($H122,,0.01,CDTA_Comp,CDTA_Spec,,,L$74)/$C$70</f>
        <v>7.5724812756784662E-8</v>
      </c>
    </row>
    <row r="123" spans="8:12" x14ac:dyDescent="0.35">
      <c r="H123">
        <v>8.7999999999999794</v>
      </c>
      <c r="I123" s="14" cm="1">
        <f t="array" ref="I123">10^-[1]!AqSpeciateOne($H123,,0.01,CDTA_Comp,CDTA_Spec,,,I$74)/$C$70</f>
        <v>9.0188818212225225E-5</v>
      </c>
      <c r="J123" s="14" cm="1">
        <f t="array" ref="J123">10^-[1]!AqSpeciateOne($H123,,0.01,CDTA_Comp,CDTA_Spec,,,J$74)/$C$70</f>
        <v>0.99505626066532149</v>
      </c>
      <c r="K123" s="14" cm="1">
        <f t="array" ref="K123">10^-[1]!AqSpeciateOne($H123,,0.01,CDTA_Comp,CDTA_Spec,,,K$74)/$C$70</f>
        <v>4.8535026781448276E-3</v>
      </c>
      <c r="L123" s="14" cm="1">
        <f t="array" ref="L123">10^-[1]!AqSpeciateOne($H123,,0.01,CDTA_Comp,CDTA_Spec,,,L$74)/$C$70</f>
        <v>4.7838285614945056E-8</v>
      </c>
    </row>
    <row r="124" spans="8:12" x14ac:dyDescent="0.35">
      <c r="H124">
        <v>8.8999999999999808</v>
      </c>
      <c r="I124" s="14" cm="1">
        <f t="array" ref="I124">10^-[1]!AqSpeciateOne($H124,,0.01,CDTA_Comp,CDTA_Spec,,,I$74)/$C$70</f>
        <v>1.136517935519821E-4</v>
      </c>
      <c r="J124" s="14" cm="1">
        <f t="array" ref="J124">10^-[1]!AqSpeciateOne($H124,,0.01,CDTA_Comp,CDTA_Spec,,,J$74)/$C$70</f>
        <v>0.99602728162733023</v>
      </c>
      <c r="K124" s="14" cm="1">
        <f t="array" ref="K124">10^-[1]!AqSpeciateOne($H124,,0.01,CDTA_Comp,CDTA_Spec,,,K$74)/$C$70</f>
        <v>3.859036365731689E-3</v>
      </c>
      <c r="L124" s="14" cm="1">
        <f t="array" ref="L124">10^-[1]!AqSpeciateOne($H124,,0.01,CDTA_Comp,CDTA_Spec,,,L$74)/$C$70</f>
        <v>3.021337248987052E-8</v>
      </c>
    </row>
    <row r="125" spans="8:12" x14ac:dyDescent="0.35">
      <c r="H125">
        <v>8.9999999999999805</v>
      </c>
      <c r="I125" s="14" cm="1">
        <f t="array" ref="I125">10^-[1]!AqSpeciateOne($H125,,0.01,CDTA_Comp,CDTA_Spec,,,I$74)/$C$70</f>
        <v>1.4318856696096219E-4</v>
      </c>
      <c r="J125" s="14" cm="1">
        <f t="array" ref="J125">10^-[1]!AqSpeciateOne($H125,,0.01,CDTA_Comp,CDTA_Spec,,,J$74)/$C$70</f>
        <v>0.99678910624401829</v>
      </c>
      <c r="K125" s="14" cm="1">
        <f t="array" ref="K125">10^-[1]!AqSpeciateOne($H125,,0.01,CDTA_Comp,CDTA_Spec,,,K$74)/$C$70</f>
        <v>3.067686111079541E-3</v>
      </c>
      <c r="L125" s="14" cm="1">
        <f t="array" ref="L125">10^-[1]!AqSpeciateOne($H125,,0.01,CDTA_Comp,CDTA_Spec,,,L$74)/$C$70</f>
        <v>1.9077930128381222E-8</v>
      </c>
    </row>
    <row r="126" spans="8:12" x14ac:dyDescent="0.35">
      <c r="H126">
        <v>9.0999999999999801</v>
      </c>
      <c r="I126" s="14" cm="1">
        <f t="array" ref="I126">10^-[1]!AqSpeciateOne($H126,,0.01,CDTA_Comp,CDTA_Spec,,,I$74)/$C$70</f>
        <v>1.8037084216669219E-4</v>
      </c>
      <c r="J126" s="14" cm="1">
        <f t="array" ref="J126">10^-[1]!AqSpeciateOne($H126,,0.01,CDTA_Comp,CDTA_Spec,,,J$74)/$C$70</f>
        <v>0.99738141953912607</v>
      </c>
      <c r="K126" s="14" cm="1">
        <f t="array" ref="K126">10^-[1]!AqSpeciateOne($H126,,0.01,CDTA_Comp,CDTA_Spec,,,K$74)/$C$70</f>
        <v>2.4381976618152589E-3</v>
      </c>
      <c r="L126" s="14" cm="1">
        <f t="array" ref="L126">10^-[1]!AqSpeciateOne($H126,,0.01,CDTA_Comp,CDTA_Spec,,,L$74)/$C$70</f>
        <v>1.2044512987485328E-8</v>
      </c>
    </row>
    <row r="127" spans="8:12" x14ac:dyDescent="0.35">
      <c r="H127">
        <v>9.1999999999999797</v>
      </c>
      <c r="I127" s="14" cm="1">
        <f t="array" ref="I127">10^-[1]!AqSpeciateOne($H127,,0.01,CDTA_Comp,CDTA_Spec,,,I$74)/$C$70</f>
        <v>2.2717674996181891E-4</v>
      </c>
      <c r="J127" s="14" cm="1">
        <f t="array" ref="J127">10^-[1]!AqSpeciateOne($H127,,0.01,CDTA_Comp,CDTA_Spec,,,J$74)/$C$70</f>
        <v>0.99783520523494773</v>
      </c>
      <c r="K127" s="14" cm="1">
        <f t="array" ref="K127">10^-[1]!AqSpeciateOne($H127,,0.01,CDTA_Comp,CDTA_Spec,,,K$74)/$C$70</f>
        <v>1.9376104120542991E-3</v>
      </c>
      <c r="L127" s="14" cm="1">
        <f t="array" ref="L127">10^-[1]!AqSpeciateOne($H127,,0.01,CDTA_Comp,CDTA_Spec,,,L$74)/$C$70</f>
        <v>7.6030315621724785E-9</v>
      </c>
    </row>
    <row r="128" spans="8:12" x14ac:dyDescent="0.35">
      <c r="H128">
        <v>9.2999999999999794</v>
      </c>
      <c r="I128" s="14" cm="1">
        <f t="array" ref="I128">10^-[1]!AqSpeciateOne($H128,,0.01,CDTA_Comp,CDTA_Spec,,,I$74)/$C$70</f>
        <v>2.8609576814717227E-4</v>
      </c>
      <c r="J128" s="14" cm="1">
        <f t="array" ref="J128">10^-[1]!AqSpeciateOne($H128,,0.01,CDTA_Comp,CDTA_Spec,,,J$74)/$C$70</f>
        <v>0.99817427777656376</v>
      </c>
      <c r="K128" s="14" cm="1">
        <f t="array" ref="K128">10^-[1]!AqSpeciateOne($H128,,0.01,CDTA_Comp,CDTA_Spec,,,K$74)/$C$70</f>
        <v>1.5396216564682451E-3</v>
      </c>
      <c r="L128" s="14" cm="1">
        <f t="array" ref="L128">10^-[1]!AqSpeciateOne($H128,,0.01,CDTA_Comp,CDTA_Spec,,,L$74)/$C$70</f>
        <v>4.7988187282837004E-9</v>
      </c>
    </row>
    <row r="129" spans="5:12" x14ac:dyDescent="0.35">
      <c r="H129">
        <v>9.3999999999999808</v>
      </c>
      <c r="I129" s="14" cm="1">
        <f t="array" ref="I129">10^-[1]!AqSpeciateOne($H129,,0.01,CDTA_Comp,CDTA_Spec,,,I$74)/$C$70</f>
        <v>3.6026062511367176E-4</v>
      </c>
      <c r="J129" s="14" cm="1">
        <f t="array" ref="J129">10^-[1]!AqSpeciateOne($H129,,0.01,CDTA_Comp,CDTA_Spec,,,J$74)/$C$70</f>
        <v>0.99841647465371686</v>
      </c>
      <c r="K129" s="14" cm="1">
        <f t="array" ref="K129">10^-[1]!AqSpeciateOne($H129,,0.01,CDTA_Comp,CDTA_Spec,,,K$74)/$C$70</f>
        <v>1.2232616925829786E-3</v>
      </c>
      <c r="L129" s="14" cm="1">
        <f t="array" ref="L129">10^-[1]!AqSpeciateOne($H129,,0.01,CDTA_Comp,CDTA_Spec,,,L$74)/$C$70</f>
        <v>3.0285845985514712E-9</v>
      </c>
    </row>
    <row r="130" spans="5:12" x14ac:dyDescent="0.35">
      <c r="H130">
        <v>9.4999999999999805</v>
      </c>
      <c r="I130" s="14" cm="1">
        <f t="array" ref="I130">10^-[1]!AqSpeciateOne($H130,,0.01,CDTA_Comp,CDTA_Spec,,,I$74)/$C$70</f>
        <v>4.5361306770777879E-4</v>
      </c>
      <c r="J130" s="14" cm="1">
        <f t="array" ref="J130">10^-[1]!AqSpeciateOne($H130,,0.01,CDTA_Comp,CDTA_Spec,,,J$74)/$C$70</f>
        <v>0.99857455986971</v>
      </c>
      <c r="K130" s="14" cm="1">
        <f t="array" ref="K130">10^-[1]!AqSpeciateOne($H130,,0.01,CDTA_Comp,CDTA_Spec,,,K$74)/$C$70</f>
        <v>9.7182515136890542E-4</v>
      </c>
      <c r="L130" s="14" cm="1">
        <f t="array" ref="L130">10^-[1]!AqSpeciateOne($H130,,0.01,CDTA_Comp,CDTA_Spec,,,L$74)/$C$70</f>
        <v>1.9112102612114209E-9</v>
      </c>
    </row>
    <row r="131" spans="5:12" x14ac:dyDescent="0.35">
      <c r="H131">
        <v>9.5999999999999801</v>
      </c>
      <c r="I131" s="14" cm="1">
        <f t="array" ref="I131">10^-[1]!AqSpeciateOne($H131,,0.01,CDTA_Comp,CDTA_Spec,,,I$74)/$C$70</f>
        <v>5.7111209240144015E-4</v>
      </c>
      <c r="J131" s="14" cm="1">
        <f t="array" ref="J131">10^-[1]!AqSpeciateOne($H131,,0.01,CDTA_Comp,CDTA_Spec,,,J$74)/$C$70</f>
        <v>0.99865687491102217</v>
      </c>
      <c r="K131" s="14" cm="1">
        <f t="array" ref="K131">10^-[1]!AqSpeciateOne($H131,,0.01,CDTA_Comp,CDTA_Spec,,,K$74)/$C$70</f>
        <v>7.720117905979098E-4</v>
      </c>
      <c r="L131" s="14" cm="1">
        <f t="array" ref="L131">10^-[1]!AqSpeciateOne($H131,,0.01,CDTA_Comp,CDTA_Spec,,,L$74)/$C$70</f>
        <v>1.205991555915026E-9</v>
      </c>
    </row>
    <row r="132" spans="5:12" x14ac:dyDescent="0.35">
      <c r="H132">
        <v>9.6999999999999797</v>
      </c>
      <c r="I132" s="14" cm="1">
        <f t="array" ref="I132">10^-[1]!AqSpeciateOne($H132,,0.01,CDTA_Comp,CDTA_Spec,,,I$74)/$C$70</f>
        <v>7.1899536806200887E-4</v>
      </c>
      <c r="J132" s="14" cm="1">
        <f t="array" ref="J132">10^-[1]!AqSpeciateOne($H132,,0.01,CDTA_Comp,CDTA_Spec,,,J$74)/$C$70</f>
        <v>0.99866776720315054</v>
      </c>
      <c r="K132" s="14" cm="1">
        <f t="array" ref="K132">10^-[1]!AqSpeciateOne($H132,,0.01,CDTA_Comp,CDTA_Spec,,,K$74)/$C$70</f>
        <v>6.1323745128403573E-4</v>
      </c>
      <c r="L132" s="14" cm="1">
        <f t="array" ref="L132">10^-[1]!AqSpeciateOne($H132,,0.01,CDTA_Comp,CDTA_Spec,,,L$74)/$C$70</f>
        <v>7.6093752899628779E-10</v>
      </c>
    </row>
    <row r="133" spans="5:12" x14ac:dyDescent="0.35">
      <c r="H133">
        <v>9.7999999999999794</v>
      </c>
      <c r="I133" s="14" cm="1">
        <f t="array" ref="I133">10^-[1]!AqSpeciateOne($H133,,0.01,CDTA_Comp,CDTA_Spec,,,I$74)/$C$70</f>
        <v>9.0510719623362488E-4</v>
      </c>
      <c r="J133" s="14" cm="1">
        <f t="array" ref="J133">10^-[1]!AqSpeciateOne($H133,,0.01,CDTA_Comp,CDTA_Spec,,,J$74)/$C$70</f>
        <v>0.99860780974666652</v>
      </c>
      <c r="K133" s="14" cm="1">
        <f t="array" ref="K133">10^-[1]!AqSpeciateOne($H133,,0.01,CDTA_Comp,CDTA_Spec,,,K$74)/$C$70</f>
        <v>4.8708257719830826E-4</v>
      </c>
      <c r="L133" s="14" cm="1">
        <f t="array" ref="L133">10^-[1]!AqSpeciateOne($H133,,0.01,CDTA_Comp,CDTA_Spec,,,L$74)/$C$70</f>
        <v>4.8009029748764427E-10</v>
      </c>
    </row>
    <row r="134" spans="5:12" x14ac:dyDescent="0.35">
      <c r="E134">
        <f>400*I134</f>
        <v>0.45572383271949662</v>
      </c>
      <c r="H134">
        <v>9.8999999999999808</v>
      </c>
      <c r="I134" s="15" cm="1">
        <f t="array" ref="I134">10^-[1]!AqSpeciateOne($H134,,0.01,CDTA_Comp,CDTA_Spec,,,I$74)/$C$70</f>
        <v>1.1393095817987416E-3</v>
      </c>
      <c r="J134" s="14" cm="1">
        <f t="array" ref="J134">10^-[1]!AqSpeciateOne($H134,,0.01,CDTA_Comp,CDTA_Spec,,,J$74)/$C$70</f>
        <v>0.9984738385777826</v>
      </c>
      <c r="K134" s="14" cm="1">
        <f t="array" ref="K134">10^-[1]!AqSpeciateOne($H134,,0.01,CDTA_Comp,CDTA_Spec,,,K$74)/$C$70</f>
        <v>3.8685153754102153E-4</v>
      </c>
      <c r="L134" s="14" cm="1">
        <f t="array" ref="L134">10^-[1]!AqSpeciateOne($H134,,0.01,CDTA_Comp,CDTA_Spec,,,L$74)/$C$70</f>
        <v>3.0287586055929508E-10</v>
      </c>
    </row>
    <row r="135" spans="5:12" x14ac:dyDescent="0.35">
      <c r="E135">
        <f t="shared" ref="E135:E140" si="0">400*I135</f>
        <v>0.57359874244665499</v>
      </c>
      <c r="H135">
        <v>9.9999999999999805</v>
      </c>
      <c r="I135" s="15" cm="1">
        <f t="array" ref="I135">10^-[1]!AqSpeciateOne($H135,,0.01,CDTA_Comp,CDTA_Spec,,,I$74)/$C$70</f>
        <v>1.4339968561166375E-3</v>
      </c>
      <c r="J135" s="14" cm="1">
        <f t="array" ref="J135">10^-[1]!AqSpeciateOne($H135,,0.01,CDTA_Comp,CDTA_Spec,,,J$74)/$C$70</f>
        <v>0.99825878204014418</v>
      </c>
      <c r="K135" s="14" cm="1">
        <f t="array" ref="K135">10^-[1]!AqSpeciateOne($H135,,0.01,CDTA_Comp,CDTA_Spec,,,K$74)/$C$70</f>
        <v>3.0722091380662101E-4</v>
      </c>
      <c r="L135" s="14" cm="1">
        <f t="array" ref="L135">10^-[1]!AqSpeciateOne($H135,,0.01,CDTA_Comp,CDTA_Spec,,,L$74)/$C$70</f>
        <v>1.9106058818767455E-10</v>
      </c>
    </row>
    <row r="136" spans="5:12" x14ac:dyDescent="0.35">
      <c r="E136">
        <f t="shared" si="0"/>
        <v>0.72189560906431205</v>
      </c>
      <c r="H136">
        <v>10.1</v>
      </c>
      <c r="I136" s="15" cm="1">
        <f t="array" ref="I136">10^-[1]!AqSpeciateOne($H136,,0.01,CDTA_Comp,CDTA_Spec,,,I$74)/$C$70</f>
        <v>1.80473902266078E-3</v>
      </c>
      <c r="J136" s="14" cm="1">
        <f t="array" ref="J136">10^-[1]!AqSpeciateOne($H136,,0.01,CDTA_Comp,CDTA_Spec,,,J$74)/$C$70</f>
        <v>0.99795130227061524</v>
      </c>
      <c r="K136" s="14" cm="1">
        <f t="array" ref="K136">10^-[1]!AqSpeciateOne($H136,,0.01,CDTA_Comp,CDTA_Spec,,,K$74)/$C$70</f>
        <v>2.4395907965940827E-4</v>
      </c>
      <c r="L136" s="14" cm="1">
        <f t="array" ref="L136">10^-[1]!AqSpeciateOne($H136,,0.01,CDTA_Comp,CDTA_Spec,,,L$74)/$C$70</f>
        <v>1.2051394968465957E-10</v>
      </c>
    </row>
    <row r="137" spans="5:12" x14ac:dyDescent="0.35">
      <c r="E137">
        <f t="shared" si="0"/>
        <v>0.9084338030595468</v>
      </c>
      <c r="H137">
        <v>10.199999999999999</v>
      </c>
      <c r="I137" s="15" cm="1">
        <f t="array" ref="I137">10^-[1]!AqSpeciateOne($H137,,0.01,CDTA_Comp,CDTA_Spec,,,I$74)/$C$70</f>
        <v>2.271084507648867E-3</v>
      </c>
      <c r="J137" s="14" cm="1">
        <f t="array" ref="J137">10^-[1]!AqSpeciateOne($H137,,0.01,CDTA_Comp,CDTA_Spec,,,J$74)/$C$70</f>
        <v>0.9975352126379492</v>
      </c>
      <c r="K137" s="14" cm="1">
        <f t="array" ref="K137">10^-[1]!AqSpeciateOne($H137,,0.01,CDTA_Comp,CDTA_Spec,,,K$74)/$C$70</f>
        <v>1.9370278822171871E-4</v>
      </c>
      <c r="L137" s="14" cm="1">
        <f t="array" ref="L137">10^-[1]!AqSpeciateOne($H137,,0.01,CDTA_Comp,CDTA_Spec,,,L$74)/$C$70</f>
        <v>7.6007457606973013E-11</v>
      </c>
    </row>
    <row r="138" spans="5:12" x14ac:dyDescent="0.35">
      <c r="E138">
        <f t="shared" si="0"/>
        <v>1.143023793334506</v>
      </c>
      <c r="H138">
        <v>10.3</v>
      </c>
      <c r="I138" s="15" cm="1">
        <f t="array" ref="I138">10^-[1]!AqSpeciateOne($H138,,0.01,CDTA_Comp,CDTA_Spec,,,I$74)/$C$70</f>
        <v>2.8575594833362651E-3</v>
      </c>
      <c r="J138" s="14" cm="1">
        <f t="array" ref="J138">10^-[1]!AqSpeciateOne($H138,,0.01,CDTA_Comp,CDTA_Spec,,,J$74)/$C$70</f>
        <v>0.99698866290651089</v>
      </c>
      <c r="K138" s="14" cm="1">
        <f t="array" ref="K138">10^-[1]!AqSpeciateOne($H138,,0.01,CDTA_Comp,CDTA_Spec,,,K$74)/$C$70</f>
        <v>1.5377929193720495E-4</v>
      </c>
      <c r="L138" s="14" cm="1">
        <f t="array" ref="L138">10^-[1]!AqSpeciateOne($H138,,0.01,CDTA_Comp,CDTA_Spec,,,L$74)/$C$70</f>
        <v>4.7931187709013768E-11</v>
      </c>
    </row>
    <row r="139" spans="5:12" x14ac:dyDescent="0.35">
      <c r="E139">
        <f t="shared" si="0"/>
        <v>1.4379632357669128</v>
      </c>
      <c r="H139">
        <v>10.4</v>
      </c>
      <c r="I139" s="15" cm="1">
        <f t="array" ref="I139">10^-[1]!AqSpeciateOne($H139,,0.01,CDTA_Comp,CDTA_Spec,,,I$74)/$C$70</f>
        <v>3.5949080894172817E-3</v>
      </c>
      <c r="J139" s="14" cm="1">
        <f t="array" ref="J139">10^-[1]!AqSpeciateOne($H139,,0.01,CDTA_Comp,CDTA_Spec,,,J$74)/$C$70</f>
        <v>0.99628302710224881</v>
      </c>
      <c r="K139" s="14" cm="1">
        <f t="array" ref="K139">10^-[1]!AqSpeciateOne($H139,,0.01,CDTA_Comp,CDTA_Spec,,,K$74)/$C$70</f>
        <v>1.2206477887370846E-4</v>
      </c>
      <c r="L139" s="14" cm="1">
        <f t="array" ref="L139">10^-[1]!AqSpeciateOne($H139,,0.01,CDTA_Comp,CDTA_Spec,,,L$74)/$C$70</f>
        <v>3.0221130242530557E-11</v>
      </c>
    </row>
    <row r="140" spans="5:12" x14ac:dyDescent="0.35">
      <c r="E140">
        <f t="shared" si="0"/>
        <v>1.8086503510648448</v>
      </c>
      <c r="H140">
        <v>10.5</v>
      </c>
      <c r="I140" s="15" cm="1">
        <f t="array" ref="I140">10^-[1]!AqSpeciateOne($H140,,0.01,CDTA_Comp,CDTA_Spec,,,I$74)/$C$70</f>
        <v>4.5216258776621119E-3</v>
      </c>
      <c r="J140" s="14" cm="1">
        <f t="array" ref="J140">10^-[1]!AqSpeciateOne($H140,,0.01,CDTA_Comp,CDTA_Spec,,,J$74)/$C$70</f>
        <v>0.99538150289586502</v>
      </c>
      <c r="K140" s="14" cm="1">
        <f t="array" ref="K140">10^-[1]!AqSpeciateOne($H140,,0.01,CDTA_Comp,CDTA_Spec,,,K$74)/$C$70</f>
        <v>9.6871762870441379E-5</v>
      </c>
      <c r="L140" s="14" cm="1">
        <f t="array" ref="L140">10^-[1]!AqSpeciateOne($H140,,0.01,CDTA_Comp,CDTA_Spec,,,L$74)/$C$70</f>
        <v>1.9050989466451755E-11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Demo</vt:lpstr>
      <vt:lpstr>SpecInputs</vt:lpstr>
      <vt:lpstr>AW_NINTAOX_Comp</vt:lpstr>
      <vt:lpstr>AW_NINTAOX_Spec</vt:lpstr>
      <vt:lpstr>CDTA_Comp</vt:lpstr>
      <vt:lpstr>CDTA_Spec</vt:lpstr>
      <vt:lpstr>NiEDDA_Comp</vt:lpstr>
      <vt:lpstr>NiEDDA_Spec</vt:lpstr>
      <vt:lpstr>NiEDDAEN_Comp</vt:lpstr>
      <vt:lpstr>NiEDDAEN_Spec</vt:lpstr>
      <vt:lpstr>NiEDDAGLY_Comp</vt:lpstr>
      <vt:lpstr>NiEDDAGLY_Spec</vt:lpstr>
      <vt:lpstr>NiEDDAOX_Comp</vt:lpstr>
      <vt:lpstr>NiEDDAOX_Spec</vt:lpstr>
      <vt:lpstr>NiNTA_Comp</vt:lpstr>
      <vt:lpstr>NiNTA_Solids</vt:lpstr>
      <vt:lpstr>NiNTA_Spec</vt:lpstr>
      <vt:lpstr>NiNTAEN_Comp</vt:lpstr>
      <vt:lpstr>NiNTAEN_Solids</vt:lpstr>
      <vt:lpstr>NiNTAEN_Spec</vt:lpstr>
      <vt:lpstr>NiNTAGLY_Comp</vt:lpstr>
      <vt:lpstr>NiNTAGLY_Spec</vt:lpstr>
      <vt:lpstr>NiNTALw_Solids</vt:lpstr>
      <vt:lpstr>NiNTAonly_Solids</vt:lpstr>
      <vt:lpstr>NiNTAOX_Comp</vt:lpstr>
      <vt:lpstr>NiNTAOX_Spec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Boland</dc:creator>
  <cp:lastModifiedBy>Nate Boland</cp:lastModifiedBy>
  <dcterms:created xsi:type="dcterms:W3CDTF">2026-06-03T22:22:21Z</dcterms:created>
  <dcterms:modified xsi:type="dcterms:W3CDTF">2026-06-22T17:44:10Z</dcterms:modified>
</cp:coreProperties>
</file>